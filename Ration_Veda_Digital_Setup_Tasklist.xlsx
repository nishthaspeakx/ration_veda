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ask List" sheetId="1" state="visible" r:id="rId3"/>
    <sheet name="Credentials Tracker" sheetId="2" state="visible" r:id="rId4"/>
    <sheet name="Timeline View" sheetId="3" state="visible" r:id="rId5"/>
    <sheet name="Cost Estimate" sheetId="4" state="visible" r:id="rId6"/>
  </sheets>
  <definedNames>
    <definedName function="false" hidden="true" localSheetId="0" name="_xlnm._FilterDatabase" vbProcedure="false">'Master Task List'!$A$3:$H$64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<sst xmlns="http://schemas.openxmlformats.org/spreadsheetml/2006/main" count="666" uniqueCount="403">
  <si>
    <t xml:space="preserve">RATION VEDA — Digital Setup Master Task List</t>
  </si>
  <si>
    <t xml:space="preserve">Complete checklist for Social Media, Email, Website &amp; App setup</t>
  </si>
  <si>
    <t xml:space="preserve">#</t>
  </si>
  <si>
    <t xml:space="preserve">Task</t>
  </si>
  <si>
    <t xml:space="preserve">Sub-Tasks / Exact Steps</t>
  </si>
  <si>
    <t xml:space="preserve">Tools / Platform</t>
  </si>
  <si>
    <t xml:space="preserve">Owner / Who Does It</t>
  </si>
  <si>
    <t xml:space="preserve">Priority</t>
  </si>
  <si>
    <t xml:space="preserve">Timeline</t>
  </si>
  <si>
    <t xml:space="preserve">Status</t>
  </si>
  <si>
    <t xml:space="preserve">1. EMAIL &amp; DOMAIN SETUP (DO FIRST — Everything else depends on this)</t>
  </si>
  <si>
    <t xml:space="preserve">1A. Domain &amp; Hosting</t>
  </si>
  <si>
    <t xml:space="preserve">Verify domain ownership for rationveda.com</t>
  </si>
  <si>
    <t xml:space="preserve">1. Login to your domain registrar (GoDaddy/Namecheap/Google Domains)
2. Confirm rationveda.com is registered and active
3. Check expiry date — renew if expiring within 6 months
4. Enable auto-renewal and domain lock
5. Save registrar login credentials securely (use a password manager like 1Password or Bitwarden)</t>
  </si>
  <si>
    <t xml:space="preserve">GoDaddy / Namecheap / Google Domains</t>
  </si>
  <si>
    <t xml:space="preserve">Founder</t>
  </si>
  <si>
    <t xml:space="preserve">P0 - Critical</t>
  </si>
  <si>
    <t xml:space="preserve">Day 1</t>
  </si>
  <si>
    <t xml:space="preserve">Not Started</t>
  </si>
  <si>
    <t xml:space="preserve">Set up DNS management</t>
  </si>
  <si>
    <t xml:space="preserve">1. Go to domain registrar → DNS Settings
2. Note down current nameservers
3. If using Cloudflare (recommended): create free account → Add site → Update nameservers at registrar to Cloudflare’s
4. Cloudflare gives free SSL, CDN, and DDoS protection
5. Save Cloudflare login: email + password + 2FA</t>
  </si>
  <si>
    <t xml:space="preserve">Cloudflare (free) or registrar DNS</t>
  </si>
  <si>
    <t xml:space="preserve">Founder / Dev</t>
  </si>
  <si>
    <t xml:space="preserve">1B. Professional Email Setup</t>
  </si>
  <si>
    <t xml:space="preserve">Choose email provider &amp; create workspace</t>
  </si>
  <si>
    <t xml:space="preserve">Option A (Recommended): Google Workspace — ₹136/user/month
• Go to workspace.google.com → Get Started
• Enter business name: Ration Veda
• Domain: rationveda.com
• Create admin account: nishtha@rationveda.com
• Complete payment (monthly or annual)
Option B: Zoho Mail — Free for up to 5 users
• Go to zoho.com/mail → Business Email
• Follow setup wizard</t>
  </si>
  <si>
    <t xml:space="preserve">Google Workspace / Zoho Mail</t>
  </si>
  <si>
    <t xml:space="preserve">Day 1-2</t>
  </si>
  <si>
    <t xml:space="preserve">Verify domain with email provider</t>
  </si>
  <si>
    <t xml:space="preserve">1. Provider gives you a TXT record (e.g., google-site-verification=xxxxx)
2. Go to Cloudflare/registrar DNS → Add TXT record
3. Host: @ | Value: verification string
4. Wait 5-30 mins for propagation
5. Click Verify in provider dashboard</t>
  </si>
  <si>
    <t xml:space="preserve">DNS panel + Email provider</t>
  </si>
  <si>
    <t xml:space="preserve">Day 2</t>
  </si>
  <si>
    <t xml:space="preserve">Set up MX records for email delivery</t>
  </si>
  <si>
    <t xml:space="preserve">Google Workspace MX Records (add ALL 5):
• Priority 1: ASPMX.L.GOOGLE.COM
• Priority 5: ALT1.ASPMX.L.GOOGLE.COM
• Priority 5: ALT2.ASPMX.L.GOOGLE.COM
• Priority 10: ALT3.ASPMX.L.GOOGLE.COM
• Priority 10: ALT4.ASPMX.L.GOOGLE.COM
Delete any existing MX records first</t>
  </si>
  <si>
    <t xml:space="preserve">Cloudflare / DNS panel</t>
  </si>
  <si>
    <t xml:space="preserve">Dev</t>
  </si>
  <si>
    <t xml:space="preserve">Set up SPF, DKIM &amp; DMARC (anti-spam)</t>
  </si>
  <si>
    <t xml:space="preserve">SPF: Add TXT record → Host: @ | Value: v=spf1 include:_spf.google.com ~all
DKIM: Google Admin → Apps → Google Workspace → Gmail → Authenticate Email → Generate DKIM → Add TXT record
DMARC: Add TXT record → Host: _dmarc | Value: v=DMARC1; p=quarantine; rua=mailto:dmarc@rationveda.com</t>
  </si>
  <si>
    <t xml:space="preserve">Google Admin + DNS panel</t>
  </si>
  <si>
    <t xml:space="preserve">Create all required email addresses</t>
  </si>
  <si>
    <t xml:space="preserve">Create these accounts in Google Admin → Users:
• nishtha@rationveda.com (Admin / Founder)
• contact@rationveda.com (General inquiries)
• orders@rationveda.com (Order management)
• support@rationveda.com (Customer support)
• marketing@rationveda.com (Social media, collabs)
• info@rationveda.com (Alias → forward to contact@)
Set strong passwords (12+ chars, mixed case, numbers, symbols)
Enable 2FA on ALL accounts</t>
  </si>
  <si>
    <t xml:space="preserve">Google Workspace Admin</t>
  </si>
  <si>
    <t xml:space="preserve">Day 2-3</t>
  </si>
  <si>
    <t xml:space="preserve">Set up email signatures for all accounts</t>
  </si>
  <si>
    <t xml:space="preserve">Use consistent brand signature:
• Name + Designation
• Ration Veda logo (small)
• Phone number
• Website: www.rationveda.com
• Instagram handle
• Tagline: “Hand-pounded. Region-sourced. Unmatchable.”
Use tool like WiseStamp or HubSpot Email Signature Generator (free)</t>
  </si>
  <si>
    <t xml:space="preserve">Gmail Settings / WiseStamp</t>
  </si>
  <si>
    <t xml:space="preserve">Marketing</t>
  </si>
  <si>
    <t xml:space="preserve">P1 - High</t>
  </si>
  <si>
    <t xml:space="preserve">Day 3</t>
  </si>
  <si>
    <t xml:space="preserve">2. SOCIAL MEDIA SETUP</t>
  </si>
  <si>
    <t xml:space="preserve">2A. Instagram (PRIMARY platform — setup first)</t>
  </si>
  <si>
    <t xml:space="preserve">Create/convert to Instagram Business Account</t>
  </si>
  <si>
    <t xml:space="preserve">1. If existing personal account: Settings → Account → Switch to Professional Account → Business
2. If new: Download Instagram → Sign up with marketing@rationveda.com
3. Username: @rationveda (or @ration.veda if taken)
4. Category: Food &amp; Beverage Company
5. Connect to Facebook Business Page (creates one if needed)
6. Save credentials in password manager</t>
  </si>
  <si>
    <t xml:space="preserve">Instagram app + Facebook</t>
  </si>
  <si>
    <t xml:space="preserve">Complete Instagram profile optimization</t>
  </si>
  <si>
    <t xml:space="preserve">Profile Photo: Ration Veda logo (clean, visible at small size)
Name field: Ration Veda | Hand-Pounded Spices
Bio (150 chars max):
“Hand-pounded spices ✧ Imam-Dasta crafted
Region-sourced from India’s finest farms
Guntur • Rajasthan • Maharashtra • Punjab
→ Order via link below”
Link: Use Linktree (free) → add WhatsApp order link, website, YouTube
Action Button: Add WhatsApp button (Settings → Business → Action Buttons)</t>
  </si>
  <si>
    <t xml:space="preserve">Instagram + Linktree</t>
  </si>
  <si>
    <t xml:space="preserve">Create Instagram Highlights structure</t>
  </si>
  <si>
    <t xml:space="preserve">Create these Highlight covers (use Canva):
• Our Process — Imam-Dasta videos, hand-pounding
• Products — Each spice with details
• Reviews — Customer testimonials
• Gifting — Gift box options
• Sourcing — Farm/origin stories
• How to Order — Step-by-step
• Events — Market/event clips
Design covers in Ration Veda brand colors (earthy green/brown)</t>
  </si>
  <si>
    <t xml:space="preserve">Canva (free) + Instagram</t>
  </si>
  <si>
    <t xml:space="preserve">Day 4-5</t>
  </si>
  <si>
    <t xml:space="preserve">Set up Instagram Shopping (future-ready)</t>
  </si>
  <si>
    <t xml:space="preserve">1. Ensure Facebook Business Page is connected
2. Go to Commerce Manager (business.facebook.com/commerce)
3. Create a catalog → E-commerce → Upload products manually
4. Add all products: name, description, price, images
5. Submit for Instagram Shopping review (takes 1-7 days)
6. Once approved: tag products in posts and stories</t>
  </si>
  <si>
    <t xml:space="preserve">Meta Commerce Manager</t>
  </si>
  <si>
    <t xml:space="preserve">Marketing / Dev</t>
  </si>
  <si>
    <t xml:space="preserve">P2 - Medium</t>
  </si>
  <si>
    <t xml:space="preserve">Week 2</t>
  </si>
  <si>
    <t xml:space="preserve">Plan first 30 days of Instagram content</t>
  </si>
  <si>
    <t xml:space="preserve">Week 1: Brand intro (process, story, founder’s why)
Week 2: Product spotlights (one spice per day with recipe)
Week 3: Behind-the-scenes (sourcing trips, hand-pounding)
Week 4: Social proof (customer reactions, events, testimonials)
Content mix: 4-5 Reels/week + 2 carousel posts + daily Stories
Post times: 11am-1pm and 6pm-8pm IST
Use hashtags: #HandPoundedSpices #RationVeda #ImamDasta #AuthenticSpices #PureSpices #IndianSpices #FarmToKitchen</t>
  </si>
  <si>
    <t xml:space="preserve">Instagram + Canva + CapCut (for Reels editing)</t>
  </si>
  <si>
    <t xml:space="preserve">Week 1-4</t>
  </si>
  <si>
    <t xml:space="preserve">2B. YouTube</t>
  </si>
  <si>
    <t xml:space="preserve">Create YouTube Brand Channel</t>
  </si>
  <si>
    <t xml:space="preserve">1. Go to youtube.com → Sign in with marketing@rationveda.com
2. Click profile → Create Channel → Use custom name: Ration Veda
3. Channel Settings:
• Handle: @RationVeda
• Description: “Ration Veda brings back India’s ancient hand-pounding (Imam-Dasta) technique to create spices that are unmatchable in taste, authenticity and purity. From Guntur chillies to Rajasthani coriander — we source from the best and craft with tradition.”
• Links: Website, Instagram, WhatsApp
• Banner: Use Canva YouTube banner template (2560x1440px)
• Profile pic: Ration Veda logo
4. Verify channel for custom URL</t>
  </si>
  <si>
    <t xml:space="preserve">YouTube + Google Account</t>
  </si>
  <si>
    <t xml:space="preserve">Day 4</t>
  </si>
  <si>
    <t xml:space="preserve">Plan YouTube content pillars</t>
  </si>
  <si>
    <t xml:space="preserve">Content pillars:
• Process Videos: Hand-pounding sessions, Imam-Dasta in action (most viral potential)
• Sourcing Journeys: Travel to Guntur farms, Rajasthan, Maharashtra — show the origin
• Recipe Series: “Cook with Ration Veda” — simple recipes using your spices
• Knowledge Series: “Spice Science” — why hand-pounding preserves oils, heat damage explained
• Customer Stories: Real families tasting the difference
Start with: 2 videos/month (Shorts can be repurposed from Instagram Reels)
Equipment needed: Smartphone + tripod + basic ring light + lapel mic (₹2000-3000 total)</t>
  </si>
  <si>
    <t xml:space="preserve">YouTube + editing software (CapCut/DaVinci Resolve free)</t>
  </si>
  <si>
    <t xml:space="preserve">Week 2+</t>
  </si>
  <si>
    <t xml:space="preserve">2C. Facebook</t>
  </si>
  <si>
    <t xml:space="preserve">Set up Facebook Business Page</t>
  </si>
  <si>
    <t xml:space="preserve">1. Already auto-created when connecting Instagram Business
2. Go to facebook.com/pages/create if not
3. Page name: Ration Veda
4. Category: Food &amp; Beverage Company, Spice Store
5. Add all details: address, phone, website, hours
6. Upload cover photo (Canva — 820x312px) and profile photo
7. Add CTA button: “Send WhatsApp Message”
8. Create Facebook Shop (links to same Commerce Manager catalog)
9. Invite friends/family to like the page for initial base</t>
  </si>
  <si>
    <t xml:space="preserve">Facebook</t>
  </si>
  <si>
    <t xml:space="preserve">Day 3-4</t>
  </si>
  <si>
    <t xml:space="preserve">2D. LinkedIn</t>
  </si>
  <si>
    <t xml:space="preserve">Create LinkedIn Company Page</t>
  </si>
  <si>
    <t xml:space="preserve">1. Go to linkedin.com → Work → Create a Company Page
2. Company name: Ration Veda
3. LinkedIn URL: linkedin.com/company/rationveda
4. Industry: Food &amp; Beverages
5. Company size: 2-10 employees
6. Logo + cover image (Canva — 1128x191px)
7. About section: Brand story focused on B2B angle — partnerships, corporate gifting, retail expansion
8. Use for: Corporate gifting outreach, hiring, investor visibility, B2B partnerships</t>
  </si>
  <si>
    <t xml:space="preserve">LinkedIn</t>
  </si>
  <si>
    <t xml:space="preserve">2E. WhatsApp Business</t>
  </si>
  <si>
    <t xml:space="preserve">Upgrade to WhatsApp Business API (if not done)</t>
  </si>
  <si>
    <t xml:space="preserve">You’re already using Interakt. Ensure:
1. Business profile is complete: name, description, address, email, website
2. Catalog is updated with ALL products (including new SKUs as they launch)
3. Quick replies set up: “Hi! Thanks for reaching out to Ration Veda...”
4. Auto-greeting message for new chats
5. Away message for off-hours
6. Labels: New Order, Processing, Shipped, Repeat Customer, Corporate Inquiry
7. Create broadcast lists: All Customers, Gurgaon, Delhi, Corporate, Events</t>
  </si>
  <si>
    <t xml:space="preserve">WhatsApp Business / Interakt</t>
  </si>
  <si>
    <t xml:space="preserve">Operations</t>
  </si>
  <si>
    <t xml:space="preserve">2F. Other Platforms</t>
  </si>
  <si>
    <t xml:space="preserve">Create Google Business Profile</t>
  </si>
  <si>
    <t xml:space="preserve">1. Go to business.google.com
2. Business name: Ration Veda
3. Category: Spice Store, Food Products Supplier
4. Add address (warehouse), phone, website, hours
5. Upload 10-15 high-quality product photos
6. Ask 20+ existing customers to leave Google reviews
7. This helps in local search: “premium spices near me”</t>
  </si>
  <si>
    <t xml:space="preserve">Google Business Profile</t>
  </si>
  <si>
    <t xml:space="preserve">Day 5</t>
  </si>
  <si>
    <t xml:space="preserve">Register on X (Twitter)</t>
  </si>
  <si>
    <t xml:space="preserve">1. Sign up at x.com with marketing@rationveda.com
2. Handle: @RationVeda
3. Bio: Short brand description + link
4. Low priority for now — use to reshare Instagram content and engage with food community
5. Follow food bloggers, health influencers, spice-related accounts</t>
  </si>
  <si>
    <t xml:space="preserve">X (Twitter)</t>
  </si>
  <si>
    <t xml:space="preserve">P3 - Low</t>
  </si>
  <si>
    <t xml:space="preserve">Week 3</t>
  </si>
  <si>
    <t xml:space="preserve">Create Pinterest Business Account</t>
  </si>
  <si>
    <t xml:space="preserve">1. Go to business.pinterest.com → Sign up
2. Business name: Ration Veda
3. Create boards: Indian Spices, Recipes, Kitchen Essentials, Gift Ideas, Health &amp; Wellness
4. Pin product photos with links to website/WhatsApp
5. Pinterest drives long-tail traffic — good for recipe content</t>
  </si>
  <si>
    <t xml:space="preserve">Pinterest</t>
  </si>
  <si>
    <t xml:space="preserve">3. WEBSITE — www.rationveda.com</t>
  </si>
  <si>
    <t xml:space="preserve">3A. Platform Selection &amp; Setup</t>
  </si>
  <si>
    <t xml:space="preserve">Choose website platform</t>
  </si>
  <si>
    <t xml:space="preserve">Recommended: Shopify (₹2,000/month Basic plan)
• Built for e-commerce, easy to manage, great themes
• Handles payments, inventory, shipping
• WhatsApp integration plugins available
Alternative: WordPress + WooCommerce (cheaper but needs more maintenance)
For NOW (Phase 1): Even a simple Shopify site with “Order via WhatsApp” button works perfectly. Don’t over-invest in website until Q-comm and D2C scale.</t>
  </si>
  <si>
    <t xml:space="preserve">Shopify / WordPress</t>
  </si>
  <si>
    <t xml:space="preserve">Dev / Founder</t>
  </si>
  <si>
    <t xml:space="preserve">Day 5-7</t>
  </si>
  <si>
    <t xml:space="preserve">Purchase Shopify plan &amp; connect domain</t>
  </si>
  <si>
    <t xml:space="preserve">1. Go to shopify.com → Start free trial (3 days free, then ₹2,000/month)
2. Store name: Ration Veda
3. Connect domain:
• Shopify Settings → Domains → Connect existing domain
• Enter rationveda.com
• Add CNAME record in Cloudflare: shops.myshopify.com
• Add A record: 23.227.38.65
4. Enable SSL (automatic with Shopify)
5. Save Shopify admin credentials securely</t>
  </si>
  <si>
    <t xml:space="preserve">Shopify + Cloudflare DNS</t>
  </si>
  <si>
    <t xml:space="preserve">Day 5-6</t>
  </si>
  <si>
    <t xml:space="preserve">3B. Website Design &amp; Content</t>
  </si>
  <si>
    <t xml:space="preserve">Select and customize Shopify theme</t>
  </si>
  <si>
    <t xml:space="preserve">Recommended free themes: Dawn, Craft, Taste
Customize:
• Colors: Brand green (#1B4332), earthy brown, cream background
• Fonts: Clean serif for headings, sans-serif for body
• Logo in header
• Favicon (small logo icon)
Keep it clean, premium, minimal — let the products speak</t>
  </si>
  <si>
    <t xml:space="preserve">Shopify Theme Editor</t>
  </si>
  <si>
    <t xml:space="preserve">Dev / Designer</t>
  </si>
  <si>
    <t xml:space="preserve">Day 6-8</t>
  </si>
  <si>
    <t xml:space="preserve">Create all website pages with content</t>
  </si>
  <si>
    <t xml:space="preserve">Pages to create:
1. HOME: Hero banner (lifestyle shot + tagline) → “Hand-Pounded. Region-Sourced. Unmatchable.” | Featured products | Process section | Testimonials | CTA: Order on WhatsApp
2. ABOUT US / OUR STORY: Founder story, why Ration Veda exists, Imam-Dasta explanation with video, sourcing philosophy, team photo
3. OUR PROCESS: Detailed visual walkthrough — sourcing → cleaning → hand-pounding → packaging. Photos/videos at each step
4. PRODUCTS (Collection page): All products with photos, descriptions, weight, price. Each product page: origin story, taste notes, suggested use, ingredients, nutrition
5. GIFTING: Gift box options, corporate gifting inquiry form, customize options
6. CONTACT US: Form (name, email, phone, message), WhatsApp button, email: contact@rationveda.com, address
7. FAQ: Shipping, returns, shelf life, how is this different from other brands, are you organic, payment methods
8. BLOG (future): Recipes, spice education, sourcing stories</t>
  </si>
  <si>
    <t xml:space="preserve">Shopify + Canva for images</t>
  </si>
  <si>
    <t xml:space="preserve">Content Writer + Dev</t>
  </si>
  <si>
    <t xml:space="preserve">Day 7-14</t>
  </si>
  <si>
    <t xml:space="preserve">Add all products to Shopify catalog</t>
  </si>
  <si>
    <t xml:space="preserve">For each product add:
• Product title (e.g., “Guntur Chilli Powder — Hand-Pounded”)
• Description: Origin, process, taste profile, usage suggestions
• Price + Compare-at price (if showing discount)
• SKU code
• Weight and dimensions
• 4-6 high-quality photos (product, packaging, in-use, close-up)
• Variants: 50g, 100g, 250g (when available)
• Tags for filtering: chilli, coriander, turmeric, garam masala, etc.
• SEO title and meta description for each product</t>
  </si>
  <si>
    <t xml:space="preserve">Shopify Admin → Products</t>
  </si>
  <si>
    <t xml:space="preserve">Marketing + Dev</t>
  </si>
  <si>
    <t xml:space="preserve">Day 8-12</t>
  </si>
  <si>
    <t xml:space="preserve">Set up WhatsApp order redirect</t>
  </si>
  <si>
    <t xml:space="preserve">Since direct checkout isn’t priority yet:
1. Install Shopify app: “WhatsApp Chat + Cart Recovery” (free options: SuperLemon, WhatsApp Chat by Suspended)
2. Configure:
• WhatsApp number: your business number
• Pre-filled message: “Hi Ration Veda! I’d like to order: [product details]”
3. Replace “Add to Cart” button text with “Order via WhatsApp”
4. Add floating WhatsApp button on all pages
5. Also add WhatsApp link in footer and Contact page</t>
  </si>
  <si>
    <t xml:space="preserve">Shopify App Store</t>
  </si>
  <si>
    <t xml:space="preserve">Day 10-12</t>
  </si>
  <si>
    <t xml:space="preserve">3C. Website Technical Setup</t>
  </si>
  <si>
    <t xml:space="preserve">Set up Google Analytics &amp; Search Console</t>
  </si>
  <si>
    <t xml:space="preserve">Google Analytics 4:
1. Go to analytics.google.com → Create account → Ration Veda
2. Create property → Web → Enter rationveda.com
3. Get Measurement ID (G-XXXXXXX)
4. Add to Shopify: Online Store → Preferences → Google Analytics
Google Search Console:
1. Go to search.google.com/search-console
2. Add property → Domain → rationveda.com
3. Verify via DNS TXT record in Cloudflare
4. Submit sitemap: rationveda.com/sitemap.xml</t>
  </si>
  <si>
    <t xml:space="preserve">Google Analytics + Search Console</t>
  </si>
  <si>
    <t xml:space="preserve">Day 12-13</t>
  </si>
  <si>
    <t xml:space="preserve">Set up Meta Pixel &amp; tracking</t>
  </si>
  <si>
    <t xml:space="preserve">1. Go to Facebook Events Manager (business.facebook.com/events_manager)
2. Create Pixel → Name: Ration Veda Pixel
3. Get Pixel ID
4. Add to Shopify: Settings → Online Store → Preferences → Facebook Pixel
5. Verify with Facebook Pixel Helper Chrome extension
6. This enables retargeting ads and lookalike audiences later</t>
  </si>
  <si>
    <t xml:space="preserve">Meta Business Suite + Shopify</t>
  </si>
  <si>
    <t xml:space="preserve">Dev / Marketing</t>
  </si>
  <si>
    <t xml:space="preserve">Basic SEO setup</t>
  </si>
  <si>
    <t xml:space="preserve">1. Set homepage title: “Ration Veda — Hand-Pounded Premium Spices | Region-Sourced from India”
2. Meta description: “Discover authentic hand-pounded spices crafted using the ancient Imam-Dasta technique. Guntur chilli, Rajasthani coriander, Rajapuri turmeric &amp; more. Pure. Unmatchable.”
3. Add alt text to ALL images
4. Create URL structure: rationveda.com/products/guntur-chilli-powder
5. Add schema markup (Shopify apps: JSON-LD for SEO)
6. Submit sitemap to Google Search Console</t>
  </si>
  <si>
    <t xml:space="preserve">Shopify + Google Search Console</t>
  </si>
  <si>
    <t xml:space="preserve">Day 13-14</t>
  </si>
  <si>
    <t xml:space="preserve">Set up essential Shopify apps</t>
  </si>
  <si>
    <t xml:space="preserve">Install these free/low-cost apps:
• WhatsApp Chat plugin (for order redirect)
• SEO app (JSON-LD for SEO or SEO Manager)
• Privy or Mailchimp (email popup for list building)
• Loox or Judge.me (product reviews)
• Google channel (for Google Shopping listing)
• Facebook &amp; Instagram channel (for social commerce)
• Shipping calculator (if enabling direct orders later)</t>
  </si>
  <si>
    <t xml:space="preserve">Week 2-3</t>
  </si>
  <si>
    <t xml:space="preserve">4. MOBILE APP</t>
  </si>
  <si>
    <t xml:space="preserve">4A. App Strategy Decision</t>
  </si>
  <si>
    <t xml:space="preserve">Decide: Build app now or later?</t>
  </si>
  <si>
    <t xml:space="preserve">RECOMMENDATION: DO NOT build a native app now. Here’s why:
• You have &lt; 1000 customers — app downloads will be very low
• Cost: ₹3-8 lakhs for basic app, ongoing maintenance
• Better ROI: Invest that money in products, events, marketing
INSTEAD DO THIS:
1. Make your Shopify website mobile-optimized (it is by default)
2. Add “Add to Home Screen” prompt (PWA — Progressive Web App)
3. Use WhatsApp Business catalog as your “app” for now
4. Build a proper app at 5,000+ active customers</t>
  </si>
  <si>
    <t xml:space="preserve">Strategic Decision</t>
  </si>
  <si>
    <t xml:space="preserve">Day 1 (decide)</t>
  </si>
  <si>
    <t xml:space="preserve">4B. If Building App Later (at 5000+ customers)</t>
  </si>
  <si>
    <t xml:space="preserve">Choose app development approach</t>
  </si>
  <si>
    <t xml:space="preserve">Option 1: Shopify Mobile App Builder (₹5,000-15,000/month)
• Apps like Shopney, Vajro, or Tapcart
• Converts your Shopify store into a mobile app
• No coding needed, syncs automatically
• Push notifications, in-app purchases
Option 2: Custom App (React Native / Flutter) — ₹4-8 lakhs
• Full control, custom features
• Needs developer team or agency
• Only worth it at serious scale (10,000+ users)
Option 3: Progressive Web App (PWA) — ₹50,000-1 lakh
• Works like an app from the browser
• No app store listing needed
• Good middle ground</t>
  </si>
  <si>
    <t xml:space="preserve">Shopney / Vajro / Custom Dev</t>
  </si>
  <si>
    <t xml:space="preserve">Dev / Agency</t>
  </si>
  <si>
    <t xml:space="preserve">P3 - Later</t>
  </si>
  <si>
    <t xml:space="preserve">Month 6-9</t>
  </si>
  <si>
    <t xml:space="preserve">4C. Immediate App-Like Experience (Do Now)</t>
  </si>
  <si>
    <t xml:space="preserve">Set up WhatsApp catalog as mini-app</t>
  </si>
  <si>
    <t xml:space="preserve">1. Open WhatsApp Business → Business Tools → Catalog
2. Add ALL products with:
• High-quality product photo
• Name, price, description
• Product link (to website)
3. Organize by collections if available
4. Share catalog link: wa.me/c/91XXXXXXXXXX
5. Add this link to Linktree, Instagram bio, website</t>
  </si>
  <si>
    <t xml:space="preserve">WhatsApp Business</t>
  </si>
  <si>
    <t xml:space="preserve">Enable PWA on Shopify website</t>
  </si>
  <si>
    <t xml:space="preserve">1. Install Shopify app: “PWA &amp; AMP” or “Progressify”
2. Configure: App icon (Ration Veda logo), splash screen, theme color
3. When customers visit website on mobile, they’ll get prompted: “Add Ration Veda to Home Screen”
4. This creates an app-like icon on their phone
5. Opens website in full-screen mode (looks like an app)
6. Loads faster on repeat visits</t>
  </si>
  <si>
    <t xml:space="preserve">Shopify PWA App</t>
  </si>
  <si>
    <t xml:space="preserve">5. CREDENTIALS &amp; SECURITY MASTER LIST</t>
  </si>
  <si>
    <t xml:space="preserve">Set up a password manager</t>
  </si>
  <si>
    <t xml:space="preserve">1. Create a 1Password Teams account (₹300/user/month) OR use Bitwarden (free)
2. Create a vault: “Ration Veda Business”
3. Store ALL credentials here (never in notes/WhatsApp/email)
4. Enable 2FA on the password manager itself
5. Share vault access with team members as needed</t>
  </si>
  <si>
    <t xml:space="preserve">1Password / Bitwarden</t>
  </si>
  <si>
    <t xml:space="preserve">Create and store all credentials</t>
  </si>
  <si>
    <t xml:space="preserve">Store these in password manager:
• Domain registrar: URL, email, password, 2FA
• Cloudflare: email, password, 2FA
• Google Workspace Admin: email, password, 2FA, recovery email
• Each email account: address, password
• Shopify: email, password, 2FA
• Instagram: email/phone, password, 2FA
• Facebook Page: linked personal account
• YouTube: Google account credentials
• LinkedIn: email, password
• WhatsApp Business / Interakt: phone, login
• Google Analytics: Google account
• Meta Business Suite: Facebook login
• Canva: email, password
• Linktree: email, password</t>
  </si>
  <si>
    <t xml:space="preserve">Ongoing</t>
  </si>
  <si>
    <t xml:space="preserve">Enable 2FA on all critical accounts</t>
  </si>
  <si>
    <t xml:space="preserve">MUST enable 2-Factor Authentication on:
• Domain registrar (most critical — controls everything)
• Google Workspace Admin
• Shopify
• Instagram (Settings → Security → Two-Factor Authentication)
• Facebook
• Meta Business Suite
• Password manager
Use authenticator app (Google Authenticator or Authy), NOT SMS</t>
  </si>
  <si>
    <t xml:space="preserve">Google Authenticator / Authy</t>
  </si>
  <si>
    <t xml:space="preserve">6. CONTENT &amp; CREATIVE ASSETS NEEDED</t>
  </si>
  <si>
    <t xml:space="preserve">Product photography session</t>
  </si>
  <si>
    <t xml:space="preserve">Hire a food photographer OR DIY with good phone:
• Individual product shots (white background)
• Lifestyle shots (spices in kitchen, cooking scenes)
• Packaging close-ups (potli texture, labels)
• Process shots (Imam-Dasta in action)
• Gift box photography
• Raw material shots (whole chillies, coriander seeds, turmeric roots)
• Flat-lay compositions
Need: 15-20 photos per product, 30-40 lifestyle/brand photos
Budget: ₹5,000-15,000 for professional shoot</t>
  </si>
  <si>
    <t xml:space="preserve">Photographer / Smartphone + lightbox</t>
  </si>
  <si>
    <t xml:space="preserve">Marketing + Photographer</t>
  </si>
  <si>
    <t xml:space="preserve">Day 4-7</t>
  </si>
  <si>
    <t xml:space="preserve">Create brand design assets in Canva</t>
  </si>
  <si>
    <t xml:space="preserve">Create these in Canva (use Brand Kit for consistency):
• Logo variations: full color, white, black, icon-only
• Instagram post templates (3-4 templates)
• Instagram Story templates (3-4 templates)
• YouTube banner and thumbnail templates
• Facebook cover photo
• LinkedIn cover photo
• Email signature banner
• WhatsApp catalog images template
• Business card design
• Letterhead
• Invoice template
Save all as a Canva Brand Kit with colors, fonts, logos</t>
  </si>
  <si>
    <t xml:space="preserve">Canva Pro (₹3,500/year)</t>
  </si>
  <si>
    <t xml:space="preserve">Designer / Marketing</t>
  </si>
  <si>
    <t xml:space="preserve">Day 5-10</t>
  </si>
  <si>
    <t xml:space="preserve">Write brand copy document</t>
  </si>
  <si>
    <t xml:space="preserve">Create a master copy document with:
• Brand taglines (3-5 options for different contexts)
• Elevator pitch (30 seconds)
• Full brand story (500 words)
• Product descriptions for all 4 current products
• FAQ answers (10-15 common questions)
• Email templates: welcome, order confirmation, shipping update, review request
• WhatsApp message templates: greeting, order process, follow-up
• Social media bio text for all platforms
• SEO keywords list</t>
  </si>
  <si>
    <t xml:space="preserve">Google Docs / Notion</t>
  </si>
  <si>
    <t xml:space="preserve">Founder + Copywriter</t>
  </si>
  <si>
    <t xml:space="preserve">RATION VEDA — Credentials &amp; Access Tracker</t>
  </si>
  <si>
    <t xml:space="preserve">⚠️ DO NOT share this sheet. Store passwords in 1Password/Bitwarden, not here. Use "Password Hint" column only.</t>
  </si>
  <si>
    <t xml:space="preserve">Platform</t>
  </si>
  <si>
    <t xml:space="preserve">URL</t>
  </si>
  <si>
    <t xml:space="preserve">Email / Username</t>
  </si>
  <si>
    <t xml:space="preserve">Password Hint</t>
  </si>
  <si>
    <t xml:space="preserve">2FA Enabled?</t>
  </si>
  <si>
    <t xml:space="preserve">Recovery Email</t>
  </si>
  <si>
    <t xml:space="preserve">Notes</t>
  </si>
  <si>
    <t xml:space="preserve">Domain &amp; Hosting</t>
  </si>
  <si>
    <t xml:space="preserve">Domain Registrar</t>
  </si>
  <si>
    <t xml:space="preserve">godaddy.com / namecheap.com</t>
  </si>
  <si>
    <t xml:space="preserve">Set in 1Password</t>
  </si>
  <si>
    <t xml:space="preserve">YES ✔</t>
  </si>
  <si>
    <t xml:space="preserve">personal email</t>
  </si>
  <si>
    <t xml:space="preserve">Most critical — controls everything</t>
  </si>
  <si>
    <t xml:space="preserve">Cloudflare</t>
  </si>
  <si>
    <t xml:space="preserve">dash.cloudflare.com</t>
  </si>
  <si>
    <t xml:space="preserve">nishtha@rationveda.com</t>
  </si>
  <si>
    <t xml:space="preserve">DNS, SSL, CDN</t>
  </si>
  <si>
    <t xml:space="preserve">Email</t>
  </si>
  <si>
    <t xml:space="preserve">admin.google.com</t>
  </si>
  <si>
    <t xml:space="preserve">personal Gmail</t>
  </si>
  <si>
    <t xml:space="preserve">Controls all email accounts</t>
  </si>
  <si>
    <t xml:space="preserve">contact@rationveda.com</t>
  </si>
  <si>
    <t xml:space="preserve">mail.google.com</t>
  </si>
  <si>
    <t xml:space="preserve">General inquiries</t>
  </si>
  <si>
    <t xml:space="preserve">orders@rationveda.com</t>
  </si>
  <si>
    <t xml:space="preserve">Optional</t>
  </si>
  <si>
    <t xml:space="preserve">Order management</t>
  </si>
  <si>
    <t xml:space="preserve">support@rationveda.com</t>
  </si>
  <si>
    <t xml:space="preserve">Customer support</t>
  </si>
  <si>
    <t xml:space="preserve">marketing@rationveda.com</t>
  </si>
  <si>
    <t xml:space="preserve">Social accounts use this</t>
  </si>
  <si>
    <t xml:space="preserve">Social Media</t>
  </si>
  <si>
    <t xml:space="preserve">Instagram</t>
  </si>
  <si>
    <t xml:space="preserve">instagram.com</t>
  </si>
  <si>
    <t xml:space="preserve">@rationveda</t>
  </si>
  <si>
    <t xml:space="preserve">Business account</t>
  </si>
  <si>
    <t xml:space="preserve">Facebook Page</t>
  </si>
  <si>
    <t xml:space="preserve">facebook.com/rationveda</t>
  </si>
  <si>
    <t xml:space="preserve">Linked to personal FB</t>
  </si>
  <si>
    <t xml:space="preserve">N/A</t>
  </si>
  <si>
    <t xml:space="preserve">Business page</t>
  </si>
  <si>
    <t xml:space="preserve">YouTube</t>
  </si>
  <si>
    <t xml:space="preserve">youtube.com/@RationVeda</t>
  </si>
  <si>
    <t xml:space="preserve">Google account</t>
  </si>
  <si>
    <t xml:space="preserve">Brand channel</t>
  </si>
  <si>
    <t xml:space="preserve">linkedin.com/company/rationveda</t>
  </si>
  <si>
    <t xml:space="preserve">Company page</t>
  </si>
  <si>
    <t xml:space="preserve">x.com/RationVeda</t>
  </si>
  <si>
    <t xml:space="preserve">Lower priority</t>
  </si>
  <si>
    <t xml:space="preserve">pinterest.com/rationveda</t>
  </si>
  <si>
    <t xml:space="preserve">Linktree</t>
  </si>
  <si>
    <t xml:space="preserve">linktr.ee/rationveda</t>
  </si>
  <si>
    <t xml:space="preserve">Link in bio tool</t>
  </si>
  <si>
    <t xml:space="preserve">Website &amp; Commerce</t>
  </si>
  <si>
    <t xml:space="preserve">Shopify Admin</t>
  </si>
  <si>
    <t xml:space="preserve">rationveda.myshopify.com/admin</t>
  </si>
  <si>
    <t xml:space="preserve">Store admin</t>
  </si>
  <si>
    <t xml:space="preserve">Google Analytics</t>
  </si>
  <si>
    <t xml:space="preserve">analytics.google.com</t>
  </si>
  <si>
    <t xml:space="preserve">Property: Ration Veda</t>
  </si>
  <si>
    <t xml:space="preserve">Google Search Console</t>
  </si>
  <si>
    <t xml:space="preserve">search.google.com/search-console</t>
  </si>
  <si>
    <t xml:space="preserve">Site: rationveda.com</t>
  </si>
  <si>
    <t xml:space="preserve">Meta Business Suite</t>
  </si>
  <si>
    <t xml:space="preserve">business.facebook.com</t>
  </si>
  <si>
    <t xml:space="preserve">Personal FB login</t>
  </si>
  <si>
    <t xml:space="preserve">Pixel, ads, commerce</t>
  </si>
  <si>
    <t xml:space="preserve">app.interakt.ai</t>
  </si>
  <si>
    <t xml:space="preserve">Order management &amp; broadcasts</t>
  </si>
  <si>
    <t xml:space="preserve">ShipRocket</t>
  </si>
  <si>
    <t xml:space="preserve">app.shiprocket.in</t>
  </si>
  <si>
    <t xml:space="preserve">Shipping &amp; logistics</t>
  </si>
  <si>
    <t xml:space="preserve">Canva</t>
  </si>
  <si>
    <t xml:space="preserve">canva.com</t>
  </si>
  <si>
    <t xml:space="preserve">Design tool</t>
  </si>
  <si>
    <t xml:space="preserve">1password.com / bitwarden.com</t>
  </si>
  <si>
    <t xml:space="preserve">MASTER PASSWORD</t>
  </si>
  <si>
    <t xml:space="preserve">Password manager — protect this!</t>
  </si>
  <si>
    <t xml:space="preserve">RATION VEDA — Setup Timeline (4-Week Sprint)</t>
  </si>
  <si>
    <t xml:space="preserve">Day / Week</t>
  </si>
  <si>
    <t xml:space="preserve">Category</t>
  </si>
  <si>
    <t xml:space="preserve">Key Tasks</t>
  </si>
  <si>
    <t xml:space="preserve">Deliverable</t>
  </si>
  <si>
    <t xml:space="preserve">Owner</t>
  </si>
  <si>
    <t xml:space="preserve">Done?</t>
  </si>
  <si>
    <t xml:space="preserve">WEEK 1: Foundation</t>
  </si>
  <si>
    <t xml:space="preserve">Security</t>
  </si>
  <si>
    <t xml:space="preserve">Set up password manager (1Password/Bitwarden)</t>
  </si>
  <si>
    <t xml:space="preserve">Password vault created</t>
  </si>
  <si>
    <t xml:space="preserve">Domain</t>
  </si>
  <si>
    <t xml:space="preserve">Verify domain, set up Cloudflare DNS</t>
  </si>
  <si>
    <t xml:space="preserve">DNS configured, SSL active</t>
  </si>
  <si>
    <t xml:space="preserve">Set up Google Workspace, create all email accounts</t>
  </si>
  <si>
    <t xml:space="preserve">6 email addresses live</t>
  </si>
  <si>
    <t xml:space="preserve">Configure MX, SPF, DKIM, DMARC records</t>
  </si>
  <si>
    <t xml:space="preserve">Email deliverability secured</t>
  </si>
  <si>
    <t xml:space="preserve">Enable 2FA on all accounts</t>
  </si>
  <si>
    <t xml:space="preserve">All critical accounts secured</t>
  </si>
  <si>
    <t xml:space="preserve">Social</t>
  </si>
  <si>
    <t xml:space="preserve">Create Instagram Business Account + optimize profile</t>
  </si>
  <si>
    <t xml:space="preserve">IG profile live</t>
  </si>
  <si>
    <t xml:space="preserve">FB page live</t>
  </si>
  <si>
    <t xml:space="preserve">Update WhatsApp Business catalog &amp; templates</t>
  </si>
  <si>
    <t xml:space="preserve">WhatsApp catalog ready</t>
  </si>
  <si>
    <t xml:space="preserve">Create YouTube channel + LinkedIn page</t>
  </si>
  <si>
    <t xml:space="preserve">YT &amp; LI profiles live</t>
  </si>
  <si>
    <t xml:space="preserve">Content</t>
  </si>
  <si>
    <t xml:space="preserve">Design Instagram Highlights + brand templates</t>
  </si>
  <si>
    <t xml:space="preserve">7 highlight covers + 4 templates</t>
  </si>
  <si>
    <t xml:space="preserve">GBP live with photos</t>
  </si>
  <si>
    <t xml:space="preserve">WEEK 2: Website Build</t>
  </si>
  <si>
    <t xml:space="preserve">Website</t>
  </si>
  <si>
    <t xml:space="preserve">Purchase Shopify, connect domain</t>
  </si>
  <si>
    <t xml:space="preserve">rationveda.com on Shopify</t>
  </si>
  <si>
    <t xml:space="preserve">Day 6-7</t>
  </si>
  <si>
    <t xml:space="preserve">Select theme, customize design</t>
  </si>
  <si>
    <t xml:space="preserve">Brand-matched theme live</t>
  </si>
  <si>
    <t xml:space="preserve">100+ product/lifestyle photos</t>
  </si>
  <si>
    <t xml:space="preserve">Photographer</t>
  </si>
  <si>
    <t xml:space="preserve">Day 7-10</t>
  </si>
  <si>
    <t xml:space="preserve">Build all pages (Home, About, Process, Products, Contact)</t>
  </si>
  <si>
    <t xml:space="preserve">Complete website structure</t>
  </si>
  <si>
    <t xml:space="preserve">Dev + Content</t>
  </si>
  <si>
    <t xml:space="preserve">Add all products to catalog</t>
  </si>
  <si>
    <t xml:space="preserve">Product pages live</t>
  </si>
  <si>
    <t xml:space="preserve">Order flow working</t>
  </si>
  <si>
    <t xml:space="preserve">WEEK 3: Technical &amp; Content</t>
  </si>
  <si>
    <t xml:space="preserve">Set up Google Analytics + Search Console</t>
  </si>
  <si>
    <t xml:space="preserve">Analytics tracking live</t>
  </si>
  <si>
    <t xml:space="preserve">Install Meta Pixel</t>
  </si>
  <si>
    <t xml:space="preserve">Pixel tracking active</t>
  </si>
  <si>
    <t xml:space="preserve">SEO setup (titles, meta, schema)</t>
  </si>
  <si>
    <t xml:space="preserve">SEO foundations set</t>
  </si>
  <si>
    <t xml:space="preserve">Install essential Shopify apps</t>
  </si>
  <si>
    <t xml:space="preserve">Apps configured</t>
  </si>
  <si>
    <t xml:space="preserve">Enable PWA for mobile app-like experience</t>
  </si>
  <si>
    <t xml:space="preserve">PWA active</t>
  </si>
  <si>
    <t xml:space="preserve">Set up Instagram Shopping + LinkedIn page</t>
  </si>
  <si>
    <t xml:space="preserve">Shopping tags enabled</t>
  </si>
  <si>
    <t xml:space="preserve">Register on X and Pinterest</t>
  </si>
  <si>
    <t xml:space="preserve">Profiles created</t>
  </si>
  <si>
    <t xml:space="preserve">WEEK 4: Content &amp; Launch</t>
  </si>
  <si>
    <t xml:space="preserve">Week 3-4</t>
  </si>
  <si>
    <t xml:space="preserve">Master copy doc ready</t>
  </si>
  <si>
    <t xml:space="preserve">Copywriter</t>
  </si>
  <si>
    <t xml:space="preserve">Execute Instagram content plan (30-day plan)</t>
  </si>
  <si>
    <t xml:space="preserve">20+ posts published</t>
  </si>
  <si>
    <t xml:space="preserve">Week 4</t>
  </si>
  <si>
    <t xml:space="preserve">Plan YouTube content pillars, shoot first video</t>
  </si>
  <si>
    <t xml:space="preserve">First YT video uploaded</t>
  </si>
  <si>
    <t xml:space="preserve">Review</t>
  </si>
  <si>
    <t xml:space="preserve">Test all flows: website, WhatsApp, social links</t>
  </si>
  <si>
    <t xml:space="preserve">All systems verified</t>
  </si>
  <si>
    <t xml:space="preserve">Launch</t>
  </si>
  <si>
    <t xml:space="preserve">Announce to existing 702 customers via WhatsApp broadcast</t>
  </si>
  <si>
    <t xml:space="preserve">Launch broadcast sent</t>
  </si>
  <si>
    <t xml:space="preserve">RATION VEDA — Digital Setup Cost Estimate</t>
  </si>
  <si>
    <t xml:space="preserve">Item</t>
  </si>
  <si>
    <t xml:space="preserve">Monthly Cost (₹)</t>
  </si>
  <si>
    <t xml:space="preserve">Annual Cost (₹)</t>
  </si>
  <si>
    <t xml:space="preserve">One-Time Cost (₹)</t>
  </si>
  <si>
    <t xml:space="preserve">Essential (Must Have)</t>
  </si>
  <si>
    <t xml:space="preserve">Domain renewal (rationveda.com)</t>
  </si>
  <si>
    <t xml:space="preserve">Annual renewal</t>
  </si>
  <si>
    <t xml:space="preserve">Cloudflare (Free plan)</t>
  </si>
  <si>
    <t xml:space="preserve">Free SSL, CDN, DNS</t>
  </si>
  <si>
    <t xml:space="preserve">Google Workspace (1 user)</t>
  </si>
  <si>
    <t xml:space="preserve">Add ₹136/month per additional user</t>
  </si>
  <si>
    <t xml:space="preserve">Shopify Basic Plan</t>
  </si>
  <si>
    <t xml:space="preserve">Can start with trial</t>
  </si>
  <si>
    <t xml:space="preserve">WhatsApp Business API (Interakt)</t>
  </si>
  <si>
    <t xml:space="preserve">Already using</t>
  </si>
  <si>
    <t xml:space="preserve">Product Photography</t>
  </si>
  <si>
    <t xml:space="preserve">One-time professional shoot</t>
  </si>
  <si>
    <t xml:space="preserve">Recommended</t>
  </si>
  <si>
    <t xml:space="preserve">Canva Pro</t>
  </si>
  <si>
    <t xml:space="preserve">Annual plan is cheaper</t>
  </si>
  <si>
    <t xml:space="preserve">Linktree Pro</t>
  </si>
  <si>
    <t xml:space="preserve">Free plan sufficient</t>
  </si>
  <si>
    <t xml:space="preserve">Email marketing (Mailchimp)</t>
  </si>
  <si>
    <t xml:space="preserve">Free up to 500 contacts</t>
  </si>
  <si>
    <t xml:space="preserve">Shopify Apps (reviews, SEO, WhatsApp)</t>
  </si>
  <si>
    <t xml:space="preserve">Estimate for essential apps</t>
  </si>
  <si>
    <t xml:space="preserve">Ring light + tripod + lapel mic</t>
  </si>
  <si>
    <t xml:space="preserve">One-time for content creation</t>
  </si>
  <si>
    <t xml:space="preserve">Optional / Later</t>
  </si>
  <si>
    <t xml:space="preserve">Instagram/Facebook Ads (when ready)</t>
  </si>
  <si>
    <t xml:space="preserve">Start small, scale with data</t>
  </si>
  <si>
    <t xml:space="preserve">Influencer seeding</t>
  </si>
  <si>
    <t xml:space="preserve">Barter + small fees initially</t>
  </si>
  <si>
    <t xml:space="preserve">Shopify Mobile App Builder (Shopney)</t>
  </si>
  <si>
    <t xml:space="preserve">Only at 5000+ customers</t>
  </si>
  <si>
    <t xml:space="preserve">Custom App Development</t>
  </si>
  <si>
    <t xml:space="preserve">Only at 10000+ customers</t>
  </si>
  <si>
    <t xml:space="preserve">TOTALS (Essential + Recommended)</t>
  </si>
  <si>
    <t xml:space="preserve">Total Monthly (Essential)</t>
  </si>
  <si>
    <t xml:space="preserve">₹3,635/month to run everything</t>
  </si>
  <si>
    <t xml:space="preserve">Total One-Time Setup</t>
  </si>
  <si>
    <t xml:space="preserve">₹13,000 one-time</t>
  </si>
  <si>
    <t xml:space="preserve">Total Year 1 Cost (Essential + Recommended)</t>
  </si>
  <si>
    <t xml:space="preserve">~₹61,000 for the full 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</si>
</sst>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i val="true"/>
      <sz val="10"/>
      <color rgb="FF2D6A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b val="true"/>
      <sz val="11"/>
      <color rgb="FF2D6A4F"/>
      <name val="Arial"/>
      <family val="0"/>
      <charset val="1"/>
    </font>
    <font>
      <sz val="10"/>
      <color rgb="FF081C15"/>
      <name val="Arial"/>
      <family val="0"/>
      <charset val="1"/>
    </font>
    <font>
      <b val="true"/>
      <sz val="10"/>
      <color rgb="FF081C15"/>
      <name val="Arial"/>
      <family val="0"/>
      <charset val="1"/>
    </font>
    <font>
      <b val="true"/>
      <sz val="13"/>
      <color rgb="FF1B4332"/>
      <name val="Arial"/>
      <family val="0"/>
      <charset val="1"/>
    </font>
    <font>
      <b val="true"/>
      <i val="true"/>
      <sz val="9"/>
      <color rgb="FFC0392B"/>
      <name val="Arial"/>
      <family val="0"/>
      <charset val="1"/>
    </font>
    <font>
      <b val="true"/>
      <sz val="10"/>
      <color rgb="FF27AE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95D5B2"/>
        <bgColor rgb="FFCCCCCC"/>
      </patternFill>
    </fill>
    <fill>
      <patternFill patternType="solid">
        <fgColor rgb="FFD8F3DC"/>
        <bgColor rgb="FFCCFFF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4332"/>
          <bgColor rgb="FF000000"/>
        </patternFill>
      </fill>
    </dxf>
    <dxf>
      <fill>
        <patternFill patternType="solid">
          <fgColor rgb="FF95D5B2"/>
          <bgColor rgb="FF000000"/>
        </patternFill>
      </fill>
    </dxf>
    <dxf>
      <fill>
        <patternFill patternType="solid">
          <fgColor rgb="FFD8F3DC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81C15"/>
          <bgColor rgb="FF000000"/>
        </patternFill>
      </fill>
    </dxf>
    <dxf>
      <fill>
        <patternFill patternType="solid">
          <fgColor rgb="FF2D6A4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5D5B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7AE60"/>
      <rgbColor rgb="FF081C15"/>
      <rgbColor rgb="FF333300"/>
      <rgbColor rgb="FFC0392B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7.7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11</v>
      </c>
      <c r="B5" s="5"/>
      <c r="C5" s="5"/>
      <c r="D5" s="5"/>
      <c r="E5" s="5"/>
      <c r="F5" s="5"/>
      <c r="G5" s="5"/>
      <c r="H5" s="5"/>
    </row>
    <row r="6" customFormat="false" ht="69.75" hidden="false" customHeight="true" outlineLevel="0" collapsed="false">
      <c r="A6" s="6" t="n">
        <v>1</v>
      </c>
      <c r="B6" s="7" t="s">
        <v>12</v>
      </c>
      <c r="C6" s="8" t="s">
        <v>13</v>
      </c>
      <c r="D6" s="8" t="s">
        <v>14</v>
      </c>
      <c r="E6" s="8" t="s">
        <v>15</v>
      </c>
      <c r="F6" s="6" t="s">
        <v>16</v>
      </c>
      <c r="G6" s="6" t="s">
        <v>17</v>
      </c>
      <c r="H6" s="6" t="s">
        <v>18</v>
      </c>
    </row>
    <row r="7" customFormat="false" ht="69.75" hidden="false" customHeight="true" outlineLevel="0" collapsed="false">
      <c r="A7" s="9" t="n">
        <v>2</v>
      </c>
      <c r="B7" s="10" t="s">
        <v>19</v>
      </c>
      <c r="C7" s="11" t="s">
        <v>20</v>
      </c>
      <c r="D7" s="11" t="s">
        <v>21</v>
      </c>
      <c r="E7" s="11" t="s">
        <v>22</v>
      </c>
      <c r="F7" s="9" t="s">
        <v>16</v>
      </c>
      <c r="G7" s="9" t="s">
        <v>17</v>
      </c>
      <c r="H7" s="9" t="s">
        <v>18</v>
      </c>
    </row>
    <row r="8" customFormat="false" ht="21.75" hidden="false" customHeight="true" outlineLevel="0" collapsed="false">
      <c r="A8" s="5" t="s">
        <v>23</v>
      </c>
      <c r="B8" s="5"/>
      <c r="C8" s="5"/>
      <c r="D8" s="5"/>
      <c r="E8" s="5"/>
      <c r="F8" s="5"/>
      <c r="G8" s="5"/>
      <c r="H8" s="5"/>
    </row>
    <row r="9" customFormat="false" ht="139.5" hidden="false" customHeight="true" outlineLevel="0" collapsed="false">
      <c r="A9" s="6" t="n">
        <v>3</v>
      </c>
      <c r="B9" s="7" t="s">
        <v>24</v>
      </c>
      <c r="C9" s="8" t="s">
        <v>25</v>
      </c>
      <c r="D9" s="8" t="s">
        <v>26</v>
      </c>
      <c r="E9" s="8" t="s">
        <v>15</v>
      </c>
      <c r="F9" s="6" t="s">
        <v>16</v>
      </c>
      <c r="G9" s="6" t="s">
        <v>27</v>
      </c>
      <c r="H9" s="6" t="s">
        <v>18</v>
      </c>
    </row>
    <row r="10" customFormat="false" ht="69.75" hidden="false" customHeight="true" outlineLevel="0" collapsed="false">
      <c r="A10" s="9" t="n">
        <v>4</v>
      </c>
      <c r="B10" s="10" t="s">
        <v>28</v>
      </c>
      <c r="C10" s="11" t="s">
        <v>29</v>
      </c>
      <c r="D10" s="11" t="s">
        <v>30</v>
      </c>
      <c r="E10" s="11" t="s">
        <v>22</v>
      </c>
      <c r="F10" s="9" t="s">
        <v>16</v>
      </c>
      <c r="G10" s="9" t="s">
        <v>31</v>
      </c>
      <c r="H10" s="9" t="s">
        <v>18</v>
      </c>
    </row>
    <row r="11" customFormat="false" ht="97.5" hidden="false" customHeight="true" outlineLevel="0" collapsed="false">
      <c r="A11" s="6" t="n">
        <v>5</v>
      </c>
      <c r="B11" s="7" t="s">
        <v>32</v>
      </c>
      <c r="C11" s="8" t="s">
        <v>33</v>
      </c>
      <c r="D11" s="8" t="s">
        <v>34</v>
      </c>
      <c r="E11" s="8" t="s">
        <v>35</v>
      </c>
      <c r="F11" s="6" t="s">
        <v>16</v>
      </c>
      <c r="G11" s="6" t="s">
        <v>31</v>
      </c>
      <c r="H11" s="6" t="s">
        <v>18</v>
      </c>
    </row>
    <row r="12" customFormat="false" ht="42" hidden="false" customHeight="true" outlineLevel="0" collapsed="false">
      <c r="A12" s="9" t="n">
        <v>6</v>
      </c>
      <c r="B12" s="10" t="s">
        <v>36</v>
      </c>
      <c r="C12" s="11" t="s">
        <v>37</v>
      </c>
      <c r="D12" s="11" t="s">
        <v>38</v>
      </c>
      <c r="E12" s="11" t="s">
        <v>35</v>
      </c>
      <c r="F12" s="9" t="s">
        <v>16</v>
      </c>
      <c r="G12" s="9" t="s">
        <v>31</v>
      </c>
      <c r="H12" s="9" t="s">
        <v>18</v>
      </c>
    </row>
    <row r="13" customFormat="false" ht="139.5" hidden="false" customHeight="true" outlineLevel="0" collapsed="false">
      <c r="A13" s="6" t="n">
        <v>7</v>
      </c>
      <c r="B13" s="7" t="s">
        <v>39</v>
      </c>
      <c r="C13" s="8" t="s">
        <v>40</v>
      </c>
      <c r="D13" s="8" t="s">
        <v>41</v>
      </c>
      <c r="E13" s="8" t="s">
        <v>15</v>
      </c>
      <c r="F13" s="6" t="s">
        <v>16</v>
      </c>
      <c r="G13" s="6" t="s">
        <v>42</v>
      </c>
      <c r="H13" s="6" t="s">
        <v>18</v>
      </c>
    </row>
    <row r="14" customFormat="false" ht="111.75" hidden="false" customHeight="true" outlineLevel="0" collapsed="false">
      <c r="A14" s="9" t="n">
        <v>8</v>
      </c>
      <c r="B14" s="10" t="s">
        <v>43</v>
      </c>
      <c r="C14" s="11" t="s">
        <v>44</v>
      </c>
      <c r="D14" s="11" t="s">
        <v>45</v>
      </c>
      <c r="E14" s="11" t="s">
        <v>46</v>
      </c>
      <c r="F14" s="9" t="s">
        <v>47</v>
      </c>
      <c r="G14" s="9" t="s">
        <v>48</v>
      </c>
      <c r="H14" s="9" t="s">
        <v>18</v>
      </c>
    </row>
    <row r="15" customFormat="false" ht="27.75" hidden="false" customHeight="true" outlineLevel="0" collapsed="false">
      <c r="A15" s="4" t="s">
        <v>49</v>
      </c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5" t="s">
        <v>50</v>
      </c>
      <c r="B16" s="5"/>
      <c r="C16" s="5"/>
      <c r="D16" s="5"/>
      <c r="E16" s="5"/>
      <c r="F16" s="5"/>
      <c r="G16" s="5"/>
      <c r="H16" s="5"/>
    </row>
    <row r="17" customFormat="false" ht="84" hidden="false" customHeight="true" outlineLevel="0" collapsed="false">
      <c r="A17" s="6" t="n">
        <v>9</v>
      </c>
      <c r="B17" s="7" t="s">
        <v>51</v>
      </c>
      <c r="C17" s="8" t="s">
        <v>52</v>
      </c>
      <c r="D17" s="8" t="s">
        <v>53</v>
      </c>
      <c r="E17" s="8" t="s">
        <v>15</v>
      </c>
      <c r="F17" s="6" t="s">
        <v>16</v>
      </c>
      <c r="G17" s="6" t="s">
        <v>48</v>
      </c>
      <c r="H17" s="6" t="s">
        <v>18</v>
      </c>
    </row>
    <row r="18" customFormat="false" ht="126" hidden="false" customHeight="true" outlineLevel="0" collapsed="false">
      <c r="A18" s="9" t="n">
        <v>10</v>
      </c>
      <c r="B18" s="10" t="s">
        <v>54</v>
      </c>
      <c r="C18" s="11" t="s">
        <v>55</v>
      </c>
      <c r="D18" s="11" t="s">
        <v>56</v>
      </c>
      <c r="E18" s="11" t="s">
        <v>46</v>
      </c>
      <c r="F18" s="9" t="s">
        <v>16</v>
      </c>
      <c r="G18" s="9" t="s">
        <v>48</v>
      </c>
      <c r="H18" s="9" t="s">
        <v>18</v>
      </c>
    </row>
    <row r="19" customFormat="false" ht="126" hidden="false" customHeight="true" outlineLevel="0" collapsed="false">
      <c r="A19" s="6" t="n">
        <v>11</v>
      </c>
      <c r="B19" s="7" t="s">
        <v>57</v>
      </c>
      <c r="C19" s="8" t="s">
        <v>58</v>
      </c>
      <c r="D19" s="8" t="s">
        <v>59</v>
      </c>
      <c r="E19" s="8" t="s">
        <v>46</v>
      </c>
      <c r="F19" s="6" t="s">
        <v>47</v>
      </c>
      <c r="G19" s="6" t="s">
        <v>60</v>
      </c>
      <c r="H19" s="6" t="s">
        <v>18</v>
      </c>
    </row>
    <row r="20" customFormat="false" ht="84" hidden="false" customHeight="true" outlineLevel="0" collapsed="false">
      <c r="A20" s="9" t="n">
        <v>12</v>
      </c>
      <c r="B20" s="10" t="s">
        <v>61</v>
      </c>
      <c r="C20" s="11" t="s">
        <v>62</v>
      </c>
      <c r="D20" s="11" t="s">
        <v>63</v>
      </c>
      <c r="E20" s="11" t="s">
        <v>64</v>
      </c>
      <c r="F20" s="9" t="s">
        <v>65</v>
      </c>
      <c r="G20" s="9" t="s">
        <v>66</v>
      </c>
      <c r="H20" s="9" t="s">
        <v>18</v>
      </c>
    </row>
    <row r="21" customFormat="false" ht="111.75" hidden="false" customHeight="true" outlineLevel="0" collapsed="false">
      <c r="A21" s="6" t="n">
        <v>13</v>
      </c>
      <c r="B21" s="7" t="s">
        <v>67</v>
      </c>
      <c r="C21" s="8" t="s">
        <v>68</v>
      </c>
      <c r="D21" s="8" t="s">
        <v>69</v>
      </c>
      <c r="E21" s="8" t="s">
        <v>46</v>
      </c>
      <c r="F21" s="6" t="s">
        <v>47</v>
      </c>
      <c r="G21" s="6" t="s">
        <v>70</v>
      </c>
      <c r="H21" s="6" t="s">
        <v>18</v>
      </c>
    </row>
    <row r="22" customFormat="false" ht="21.75" hidden="false" customHeight="true" outlineLevel="0" collapsed="false">
      <c r="A22" s="5" t="s">
        <v>71</v>
      </c>
      <c r="B22" s="5"/>
      <c r="C22" s="5"/>
      <c r="D22" s="5"/>
      <c r="E22" s="5"/>
      <c r="F22" s="5"/>
      <c r="G22" s="5"/>
      <c r="H22" s="5"/>
    </row>
    <row r="23" customFormat="false" ht="126" hidden="false" customHeight="true" outlineLevel="0" collapsed="false">
      <c r="A23" s="9" t="n">
        <v>14</v>
      </c>
      <c r="B23" s="10" t="s">
        <v>72</v>
      </c>
      <c r="C23" s="11" t="s">
        <v>73</v>
      </c>
      <c r="D23" s="11" t="s">
        <v>74</v>
      </c>
      <c r="E23" s="11" t="s">
        <v>46</v>
      </c>
      <c r="F23" s="9" t="s">
        <v>47</v>
      </c>
      <c r="G23" s="9" t="s">
        <v>75</v>
      </c>
      <c r="H23" s="9" t="s">
        <v>18</v>
      </c>
    </row>
    <row r="24" customFormat="false" ht="126" hidden="false" customHeight="true" outlineLevel="0" collapsed="false">
      <c r="A24" s="6" t="n">
        <v>15</v>
      </c>
      <c r="B24" s="7" t="s">
        <v>76</v>
      </c>
      <c r="C24" s="8" t="s">
        <v>77</v>
      </c>
      <c r="D24" s="8" t="s">
        <v>78</v>
      </c>
      <c r="E24" s="8" t="s">
        <v>46</v>
      </c>
      <c r="F24" s="6" t="s">
        <v>47</v>
      </c>
      <c r="G24" s="6" t="s">
        <v>79</v>
      </c>
      <c r="H24" s="6" t="s">
        <v>18</v>
      </c>
    </row>
    <row r="25" customFormat="false" ht="21.75" hidden="false" customHeight="true" outlineLevel="0" collapsed="false">
      <c r="A25" s="5" t="s">
        <v>80</v>
      </c>
      <c r="B25" s="5"/>
      <c r="C25" s="5"/>
      <c r="D25" s="5"/>
      <c r="E25" s="5"/>
      <c r="F25" s="5"/>
      <c r="G25" s="5"/>
      <c r="H25" s="5"/>
    </row>
    <row r="26" customFormat="false" ht="126" hidden="false" customHeight="true" outlineLevel="0" collapsed="false">
      <c r="A26" s="9" t="n">
        <v>16</v>
      </c>
      <c r="B26" s="10" t="s">
        <v>81</v>
      </c>
      <c r="C26" s="11" t="s">
        <v>82</v>
      </c>
      <c r="D26" s="11" t="s">
        <v>83</v>
      </c>
      <c r="E26" s="11" t="s">
        <v>46</v>
      </c>
      <c r="F26" s="9" t="s">
        <v>47</v>
      </c>
      <c r="G26" s="9" t="s">
        <v>84</v>
      </c>
      <c r="H26" s="9" t="s">
        <v>18</v>
      </c>
    </row>
    <row r="27" customFormat="false" ht="21.75" hidden="false" customHeight="true" outlineLevel="0" collapsed="false">
      <c r="A27" s="5" t="s">
        <v>85</v>
      </c>
      <c r="B27" s="5"/>
      <c r="C27" s="5"/>
      <c r="D27" s="5"/>
      <c r="E27" s="5"/>
      <c r="F27" s="5"/>
      <c r="G27" s="5"/>
      <c r="H27" s="5"/>
    </row>
    <row r="28" customFormat="false" ht="111.75" hidden="false" customHeight="true" outlineLevel="0" collapsed="false">
      <c r="A28" s="6" t="n">
        <v>17</v>
      </c>
      <c r="B28" s="7" t="s">
        <v>86</v>
      </c>
      <c r="C28" s="8" t="s">
        <v>87</v>
      </c>
      <c r="D28" s="8" t="s">
        <v>88</v>
      </c>
      <c r="E28" s="8" t="s">
        <v>15</v>
      </c>
      <c r="F28" s="6" t="s">
        <v>65</v>
      </c>
      <c r="G28" s="6" t="s">
        <v>66</v>
      </c>
      <c r="H28" s="6" t="s">
        <v>18</v>
      </c>
    </row>
    <row r="29" customFormat="false" ht="21.75" hidden="false" customHeight="true" outlineLevel="0" collapsed="false">
      <c r="A29" s="5" t="s">
        <v>89</v>
      </c>
      <c r="B29" s="5"/>
      <c r="C29" s="5"/>
      <c r="D29" s="5"/>
      <c r="E29" s="5"/>
      <c r="F29" s="5"/>
      <c r="G29" s="5"/>
      <c r="H29" s="5"/>
    </row>
    <row r="30" customFormat="false" ht="111.75" hidden="false" customHeight="true" outlineLevel="0" collapsed="false">
      <c r="A30" s="9" t="n">
        <v>18</v>
      </c>
      <c r="B30" s="10" t="s">
        <v>90</v>
      </c>
      <c r="C30" s="11" t="s">
        <v>91</v>
      </c>
      <c r="D30" s="11" t="s">
        <v>92</v>
      </c>
      <c r="E30" s="11" t="s">
        <v>93</v>
      </c>
      <c r="F30" s="9" t="s">
        <v>16</v>
      </c>
      <c r="G30" s="9" t="s">
        <v>27</v>
      </c>
      <c r="H30" s="9" t="s">
        <v>18</v>
      </c>
    </row>
    <row r="31" customFormat="false" ht="21.75" hidden="false" customHeight="true" outlineLevel="0" collapsed="false">
      <c r="A31" s="5" t="s">
        <v>94</v>
      </c>
      <c r="B31" s="5"/>
      <c r="C31" s="5"/>
      <c r="D31" s="5"/>
      <c r="E31" s="5"/>
      <c r="F31" s="5"/>
      <c r="G31" s="5"/>
      <c r="H31" s="5"/>
    </row>
    <row r="32" customFormat="false" ht="97.5" hidden="false" customHeight="true" outlineLevel="0" collapsed="false">
      <c r="A32" s="6" t="n">
        <v>19</v>
      </c>
      <c r="B32" s="7" t="s">
        <v>95</v>
      </c>
      <c r="C32" s="8" t="s">
        <v>96</v>
      </c>
      <c r="D32" s="8" t="s">
        <v>97</v>
      </c>
      <c r="E32" s="8" t="s">
        <v>46</v>
      </c>
      <c r="F32" s="6" t="s">
        <v>47</v>
      </c>
      <c r="G32" s="6" t="s">
        <v>98</v>
      </c>
      <c r="H32" s="6" t="s">
        <v>18</v>
      </c>
    </row>
    <row r="33" customFormat="false" ht="69.75" hidden="false" customHeight="true" outlineLevel="0" collapsed="false">
      <c r="A33" s="9" t="n">
        <v>20</v>
      </c>
      <c r="B33" s="10" t="s">
        <v>99</v>
      </c>
      <c r="C33" s="11" t="s">
        <v>100</v>
      </c>
      <c r="D33" s="11" t="s">
        <v>101</v>
      </c>
      <c r="E33" s="11" t="s">
        <v>46</v>
      </c>
      <c r="F33" s="9" t="s">
        <v>102</v>
      </c>
      <c r="G33" s="9" t="s">
        <v>103</v>
      </c>
      <c r="H33" s="9" t="s">
        <v>18</v>
      </c>
    </row>
    <row r="34" customFormat="false" ht="69.75" hidden="false" customHeight="true" outlineLevel="0" collapsed="false">
      <c r="A34" s="6" t="n">
        <v>21</v>
      </c>
      <c r="B34" s="7" t="s">
        <v>104</v>
      </c>
      <c r="C34" s="8" t="s">
        <v>105</v>
      </c>
      <c r="D34" s="8" t="s">
        <v>106</v>
      </c>
      <c r="E34" s="8" t="s">
        <v>46</v>
      </c>
      <c r="F34" s="6" t="s">
        <v>102</v>
      </c>
      <c r="G34" s="6" t="s">
        <v>103</v>
      </c>
      <c r="H34" s="6" t="s">
        <v>18</v>
      </c>
    </row>
    <row r="35" customFormat="false" ht="27.75" hidden="false" customHeight="true" outlineLevel="0" collapsed="false">
      <c r="A35" s="4" t="s">
        <v>107</v>
      </c>
      <c r="B35" s="4"/>
      <c r="C35" s="4"/>
      <c r="D35" s="4"/>
      <c r="E35" s="4"/>
      <c r="F35" s="4"/>
      <c r="G35" s="4"/>
      <c r="H35" s="4"/>
    </row>
    <row r="36" customFormat="false" ht="21.75" hidden="false" customHeight="true" outlineLevel="0" collapsed="false">
      <c r="A36" s="5" t="s">
        <v>108</v>
      </c>
      <c r="B36" s="5"/>
      <c r="C36" s="5"/>
      <c r="D36" s="5"/>
      <c r="E36" s="5"/>
      <c r="F36" s="5"/>
      <c r="G36" s="5"/>
      <c r="H36" s="5"/>
    </row>
    <row r="37" customFormat="false" ht="111.75" hidden="false" customHeight="true" outlineLevel="0" collapsed="false">
      <c r="A37" s="9" t="n">
        <v>22</v>
      </c>
      <c r="B37" s="10" t="s">
        <v>109</v>
      </c>
      <c r="C37" s="11" t="s">
        <v>110</v>
      </c>
      <c r="D37" s="11" t="s">
        <v>111</v>
      </c>
      <c r="E37" s="11" t="s">
        <v>112</v>
      </c>
      <c r="F37" s="9" t="s">
        <v>16</v>
      </c>
      <c r="G37" s="9" t="s">
        <v>113</v>
      </c>
      <c r="H37" s="9" t="s">
        <v>18</v>
      </c>
    </row>
    <row r="38" customFormat="false" ht="126" hidden="false" customHeight="true" outlineLevel="0" collapsed="false">
      <c r="A38" s="6" t="n">
        <v>23</v>
      </c>
      <c r="B38" s="7" t="s">
        <v>114</v>
      </c>
      <c r="C38" s="8" t="s">
        <v>115</v>
      </c>
      <c r="D38" s="8" t="s">
        <v>116</v>
      </c>
      <c r="E38" s="8" t="s">
        <v>35</v>
      </c>
      <c r="F38" s="6" t="s">
        <v>16</v>
      </c>
      <c r="G38" s="6" t="s">
        <v>117</v>
      </c>
      <c r="H38" s="6" t="s">
        <v>18</v>
      </c>
    </row>
    <row r="39" customFormat="false" ht="21.75" hidden="false" customHeight="true" outlineLevel="0" collapsed="false">
      <c r="A39" s="5" t="s">
        <v>118</v>
      </c>
      <c r="B39" s="5"/>
      <c r="C39" s="5"/>
      <c r="D39" s="5"/>
      <c r="E39" s="5"/>
      <c r="F39" s="5"/>
      <c r="G39" s="5"/>
      <c r="H39" s="5"/>
    </row>
    <row r="40" customFormat="false" ht="97.5" hidden="false" customHeight="true" outlineLevel="0" collapsed="false">
      <c r="A40" s="9" t="n">
        <v>24</v>
      </c>
      <c r="B40" s="10" t="s">
        <v>119</v>
      </c>
      <c r="C40" s="11" t="s">
        <v>120</v>
      </c>
      <c r="D40" s="11" t="s">
        <v>121</v>
      </c>
      <c r="E40" s="11" t="s">
        <v>122</v>
      </c>
      <c r="F40" s="9" t="s">
        <v>47</v>
      </c>
      <c r="G40" s="9" t="s">
        <v>123</v>
      </c>
      <c r="H40" s="9" t="s">
        <v>18</v>
      </c>
    </row>
    <row r="41" customFormat="false" ht="237.75" hidden="false" customHeight="true" outlineLevel="0" collapsed="false">
      <c r="A41" s="6" t="n">
        <v>25</v>
      </c>
      <c r="B41" s="7" t="s">
        <v>124</v>
      </c>
      <c r="C41" s="8" t="s">
        <v>125</v>
      </c>
      <c r="D41" s="8" t="s">
        <v>126</v>
      </c>
      <c r="E41" s="8" t="s">
        <v>127</v>
      </c>
      <c r="F41" s="6" t="s">
        <v>16</v>
      </c>
      <c r="G41" s="6" t="s">
        <v>128</v>
      </c>
      <c r="H41" s="6" t="s">
        <v>18</v>
      </c>
    </row>
    <row r="42" customFormat="false" ht="139.5" hidden="false" customHeight="true" outlineLevel="0" collapsed="false">
      <c r="A42" s="9" t="n">
        <v>26</v>
      </c>
      <c r="B42" s="10" t="s">
        <v>129</v>
      </c>
      <c r="C42" s="11" t="s">
        <v>130</v>
      </c>
      <c r="D42" s="11" t="s">
        <v>131</v>
      </c>
      <c r="E42" s="11" t="s">
        <v>132</v>
      </c>
      <c r="F42" s="9" t="s">
        <v>16</v>
      </c>
      <c r="G42" s="9" t="s">
        <v>133</v>
      </c>
      <c r="H42" s="9" t="s">
        <v>18</v>
      </c>
    </row>
    <row r="43" customFormat="false" ht="111.75" hidden="false" customHeight="true" outlineLevel="0" collapsed="false">
      <c r="A43" s="6" t="n">
        <v>27</v>
      </c>
      <c r="B43" s="7" t="s">
        <v>134</v>
      </c>
      <c r="C43" s="8" t="s">
        <v>135</v>
      </c>
      <c r="D43" s="8" t="s">
        <v>136</v>
      </c>
      <c r="E43" s="8" t="s">
        <v>35</v>
      </c>
      <c r="F43" s="6" t="s">
        <v>16</v>
      </c>
      <c r="G43" s="6" t="s">
        <v>137</v>
      </c>
      <c r="H43" s="6" t="s">
        <v>18</v>
      </c>
    </row>
    <row r="44" customFormat="false" ht="21.75" hidden="false" customHeight="true" outlineLevel="0" collapsed="false">
      <c r="A44" s="5" t="s">
        <v>138</v>
      </c>
      <c r="B44" s="5"/>
      <c r="C44" s="5"/>
      <c r="D44" s="5"/>
      <c r="E44" s="5"/>
      <c r="F44" s="5"/>
      <c r="G44" s="5"/>
      <c r="H44" s="5"/>
    </row>
    <row r="45" customFormat="false" ht="153.75" hidden="false" customHeight="true" outlineLevel="0" collapsed="false">
      <c r="A45" s="9" t="n">
        <v>28</v>
      </c>
      <c r="B45" s="10" t="s">
        <v>139</v>
      </c>
      <c r="C45" s="11" t="s">
        <v>140</v>
      </c>
      <c r="D45" s="11" t="s">
        <v>141</v>
      </c>
      <c r="E45" s="11" t="s">
        <v>35</v>
      </c>
      <c r="F45" s="9" t="s">
        <v>47</v>
      </c>
      <c r="G45" s="9" t="s">
        <v>142</v>
      </c>
      <c r="H45" s="9" t="s">
        <v>18</v>
      </c>
    </row>
    <row r="46" customFormat="false" ht="84" hidden="false" customHeight="true" outlineLevel="0" collapsed="false">
      <c r="A46" s="6" t="n">
        <v>29</v>
      </c>
      <c r="B46" s="7" t="s">
        <v>143</v>
      </c>
      <c r="C46" s="8" t="s">
        <v>144</v>
      </c>
      <c r="D46" s="8" t="s">
        <v>145</v>
      </c>
      <c r="E46" s="8" t="s">
        <v>146</v>
      </c>
      <c r="F46" s="6" t="s">
        <v>47</v>
      </c>
      <c r="G46" s="6" t="s">
        <v>142</v>
      </c>
      <c r="H46" s="6" t="s">
        <v>18</v>
      </c>
    </row>
    <row r="47" customFormat="false" ht="84" hidden="false" customHeight="true" outlineLevel="0" collapsed="false">
      <c r="A47" s="9" t="n">
        <v>30</v>
      </c>
      <c r="B47" s="10" t="s">
        <v>147</v>
      </c>
      <c r="C47" s="11" t="s">
        <v>148</v>
      </c>
      <c r="D47" s="11" t="s">
        <v>149</v>
      </c>
      <c r="E47" s="11" t="s">
        <v>35</v>
      </c>
      <c r="F47" s="9" t="s">
        <v>47</v>
      </c>
      <c r="G47" s="9" t="s">
        <v>150</v>
      </c>
      <c r="H47" s="9" t="s">
        <v>18</v>
      </c>
    </row>
    <row r="48" customFormat="false" ht="111.75" hidden="false" customHeight="true" outlineLevel="0" collapsed="false">
      <c r="A48" s="6" t="n">
        <v>31</v>
      </c>
      <c r="B48" s="7" t="s">
        <v>151</v>
      </c>
      <c r="C48" s="8" t="s">
        <v>152</v>
      </c>
      <c r="D48" s="8" t="s">
        <v>136</v>
      </c>
      <c r="E48" s="8" t="s">
        <v>35</v>
      </c>
      <c r="F48" s="6" t="s">
        <v>65</v>
      </c>
      <c r="G48" s="6" t="s">
        <v>153</v>
      </c>
      <c r="H48" s="6" t="s">
        <v>18</v>
      </c>
    </row>
    <row r="49" customFormat="false" ht="27.75" hidden="false" customHeight="true" outlineLevel="0" collapsed="false">
      <c r="A49" s="4" t="s">
        <v>154</v>
      </c>
      <c r="B49" s="4"/>
      <c r="C49" s="4"/>
      <c r="D49" s="4"/>
      <c r="E49" s="4"/>
      <c r="F49" s="4"/>
      <c r="G49" s="4"/>
      <c r="H49" s="4"/>
    </row>
    <row r="50" customFormat="false" ht="21.75" hidden="false" customHeight="true" outlineLevel="0" collapsed="false">
      <c r="A50" s="5" t="s">
        <v>155</v>
      </c>
      <c r="B50" s="5"/>
      <c r="C50" s="5"/>
      <c r="D50" s="5"/>
      <c r="E50" s="5"/>
      <c r="F50" s="5"/>
      <c r="G50" s="5"/>
      <c r="H50" s="5"/>
    </row>
    <row r="51" customFormat="false" ht="139.5" hidden="false" customHeight="true" outlineLevel="0" collapsed="false">
      <c r="A51" s="9" t="n">
        <v>32</v>
      </c>
      <c r="B51" s="10" t="s">
        <v>156</v>
      </c>
      <c r="C51" s="11" t="s">
        <v>157</v>
      </c>
      <c r="D51" s="11" t="s">
        <v>158</v>
      </c>
      <c r="E51" s="11" t="s">
        <v>15</v>
      </c>
      <c r="F51" s="9" t="s">
        <v>16</v>
      </c>
      <c r="G51" s="9" t="s">
        <v>159</v>
      </c>
      <c r="H51" s="9" t="s">
        <v>18</v>
      </c>
    </row>
    <row r="52" customFormat="false" ht="21.75" hidden="false" customHeight="true" outlineLevel="0" collapsed="false">
      <c r="A52" s="5" t="s">
        <v>160</v>
      </c>
      <c r="B52" s="5"/>
      <c r="C52" s="5"/>
      <c r="D52" s="5"/>
      <c r="E52" s="5"/>
      <c r="F52" s="5"/>
      <c r="G52" s="5"/>
      <c r="H52" s="5"/>
    </row>
    <row r="53" customFormat="false" ht="210" hidden="false" customHeight="true" outlineLevel="0" collapsed="false">
      <c r="A53" s="6" t="n">
        <v>33</v>
      </c>
      <c r="B53" s="7" t="s">
        <v>161</v>
      </c>
      <c r="C53" s="8" t="s">
        <v>162</v>
      </c>
      <c r="D53" s="8" t="s">
        <v>163</v>
      </c>
      <c r="E53" s="8" t="s">
        <v>164</v>
      </c>
      <c r="F53" s="6" t="s">
        <v>165</v>
      </c>
      <c r="G53" s="6" t="s">
        <v>166</v>
      </c>
      <c r="H53" s="6" t="s">
        <v>18</v>
      </c>
    </row>
    <row r="54" customFormat="false" ht="21.75" hidden="false" customHeight="true" outlineLevel="0" collapsed="false">
      <c r="A54" s="5" t="s">
        <v>167</v>
      </c>
      <c r="B54" s="5"/>
      <c r="C54" s="5"/>
      <c r="D54" s="5"/>
      <c r="E54" s="5"/>
      <c r="F54" s="5"/>
      <c r="G54" s="5"/>
      <c r="H54" s="5"/>
    </row>
    <row r="55" customFormat="false" ht="111.75" hidden="false" customHeight="true" outlineLevel="0" collapsed="false">
      <c r="A55" s="9" t="n">
        <v>34</v>
      </c>
      <c r="B55" s="10" t="s">
        <v>168</v>
      </c>
      <c r="C55" s="11" t="s">
        <v>169</v>
      </c>
      <c r="D55" s="11" t="s">
        <v>170</v>
      </c>
      <c r="E55" s="11" t="s">
        <v>46</v>
      </c>
      <c r="F55" s="9" t="s">
        <v>16</v>
      </c>
      <c r="G55" s="9" t="s">
        <v>84</v>
      </c>
      <c r="H55" s="9" t="s">
        <v>18</v>
      </c>
    </row>
    <row r="56" customFormat="false" ht="84" hidden="false" customHeight="true" outlineLevel="0" collapsed="false">
      <c r="A56" s="6" t="n">
        <v>35</v>
      </c>
      <c r="B56" s="7" t="s">
        <v>171</v>
      </c>
      <c r="C56" s="8" t="s">
        <v>172</v>
      </c>
      <c r="D56" s="8" t="s">
        <v>173</v>
      </c>
      <c r="E56" s="8" t="s">
        <v>35</v>
      </c>
      <c r="F56" s="6" t="s">
        <v>47</v>
      </c>
      <c r="G56" s="6" t="s">
        <v>66</v>
      </c>
      <c r="H56" s="6" t="s">
        <v>18</v>
      </c>
    </row>
    <row r="57" customFormat="false" ht="27.75" hidden="false" customHeight="true" outlineLevel="0" collapsed="false">
      <c r="A57" s="4" t="s">
        <v>174</v>
      </c>
      <c r="B57" s="4"/>
      <c r="C57" s="4"/>
      <c r="D57" s="4"/>
      <c r="E57" s="4"/>
      <c r="F57" s="4"/>
      <c r="G57" s="4"/>
      <c r="H57" s="4"/>
    </row>
    <row r="58" customFormat="false" ht="69.75" hidden="false" customHeight="true" outlineLevel="0" collapsed="false">
      <c r="A58" s="9" t="n">
        <v>36</v>
      </c>
      <c r="B58" s="10" t="s">
        <v>175</v>
      </c>
      <c r="C58" s="11" t="s">
        <v>176</v>
      </c>
      <c r="D58" s="11" t="s">
        <v>177</v>
      </c>
      <c r="E58" s="11" t="s">
        <v>15</v>
      </c>
      <c r="F58" s="9" t="s">
        <v>16</v>
      </c>
      <c r="G58" s="9" t="s">
        <v>17</v>
      </c>
      <c r="H58" s="9" t="s">
        <v>18</v>
      </c>
    </row>
    <row r="59" customFormat="false" ht="210" hidden="false" customHeight="true" outlineLevel="0" collapsed="false">
      <c r="A59" s="6" t="n">
        <v>37</v>
      </c>
      <c r="B59" s="7" t="s">
        <v>178</v>
      </c>
      <c r="C59" s="8" t="s">
        <v>179</v>
      </c>
      <c r="D59" s="8" t="s">
        <v>177</v>
      </c>
      <c r="E59" s="8" t="s">
        <v>15</v>
      </c>
      <c r="F59" s="6" t="s">
        <v>16</v>
      </c>
      <c r="G59" s="6" t="s">
        <v>180</v>
      </c>
      <c r="H59" s="6" t="s">
        <v>18</v>
      </c>
    </row>
    <row r="60" customFormat="false" ht="139.5" hidden="false" customHeight="true" outlineLevel="0" collapsed="false">
      <c r="A60" s="9" t="n">
        <v>38</v>
      </c>
      <c r="B60" s="10" t="s">
        <v>181</v>
      </c>
      <c r="C60" s="11" t="s">
        <v>182</v>
      </c>
      <c r="D60" s="11" t="s">
        <v>183</v>
      </c>
      <c r="E60" s="11" t="s">
        <v>15</v>
      </c>
      <c r="F60" s="9" t="s">
        <v>16</v>
      </c>
      <c r="G60" s="9" t="s">
        <v>42</v>
      </c>
      <c r="H60" s="9" t="s">
        <v>18</v>
      </c>
    </row>
    <row r="61" customFormat="false" ht="27.75" hidden="false" customHeight="true" outlineLevel="0" collapsed="false">
      <c r="A61" s="4" t="s">
        <v>184</v>
      </c>
      <c r="B61" s="4"/>
      <c r="C61" s="4"/>
      <c r="D61" s="4"/>
      <c r="E61" s="4"/>
      <c r="F61" s="4"/>
      <c r="G61" s="4"/>
      <c r="H61" s="4"/>
    </row>
    <row r="62" customFormat="false" ht="139.5" hidden="false" customHeight="true" outlineLevel="0" collapsed="false">
      <c r="A62" s="6" t="n">
        <v>39</v>
      </c>
      <c r="B62" s="7" t="s">
        <v>185</v>
      </c>
      <c r="C62" s="8" t="s">
        <v>186</v>
      </c>
      <c r="D62" s="8" t="s">
        <v>187</v>
      </c>
      <c r="E62" s="8" t="s">
        <v>188</v>
      </c>
      <c r="F62" s="6" t="s">
        <v>16</v>
      </c>
      <c r="G62" s="6" t="s">
        <v>189</v>
      </c>
      <c r="H62" s="6" t="s">
        <v>18</v>
      </c>
    </row>
    <row r="63" customFormat="false" ht="181.5" hidden="false" customHeight="true" outlineLevel="0" collapsed="false">
      <c r="A63" s="9" t="n">
        <v>40</v>
      </c>
      <c r="B63" s="10" t="s">
        <v>190</v>
      </c>
      <c r="C63" s="11" t="s">
        <v>191</v>
      </c>
      <c r="D63" s="11" t="s">
        <v>192</v>
      </c>
      <c r="E63" s="11" t="s">
        <v>193</v>
      </c>
      <c r="F63" s="9" t="s">
        <v>47</v>
      </c>
      <c r="G63" s="9" t="s">
        <v>194</v>
      </c>
      <c r="H63" s="9" t="s">
        <v>18</v>
      </c>
    </row>
    <row r="64" customFormat="false" ht="139.5" hidden="false" customHeight="true" outlineLevel="0" collapsed="false">
      <c r="A64" s="6" t="n">
        <v>41</v>
      </c>
      <c r="B64" s="7" t="s">
        <v>195</v>
      </c>
      <c r="C64" s="8" t="s">
        <v>196</v>
      </c>
      <c r="D64" s="8" t="s">
        <v>197</v>
      </c>
      <c r="E64" s="8" t="s">
        <v>198</v>
      </c>
      <c r="F64" s="6" t="s">
        <v>47</v>
      </c>
      <c r="G64" s="6" t="s">
        <v>194</v>
      </c>
      <c r="H64" s="6" t="s">
        <v>18</v>
      </c>
    </row>
  </sheetData>
  <autoFilter ref="A3:H64"/>
  <mergeCells count="22">
    <mergeCell ref="A1:H1"/>
    <mergeCell ref="A2:H2"/>
    <mergeCell ref="A4:H4"/>
    <mergeCell ref="A5:H5"/>
    <mergeCell ref="A8:H8"/>
    <mergeCell ref="A15:H15"/>
    <mergeCell ref="A16:H16"/>
    <mergeCell ref="A22:H22"/>
    <mergeCell ref="A25:H25"/>
    <mergeCell ref="A27:H27"/>
    <mergeCell ref="A29:H29"/>
    <mergeCell ref="A31:H31"/>
    <mergeCell ref="A35:H35"/>
    <mergeCell ref="A36:H36"/>
    <mergeCell ref="A39:H39"/>
    <mergeCell ref="A44:H44"/>
    <mergeCell ref="A49:H49"/>
    <mergeCell ref="A50:H50"/>
    <mergeCell ref="A52:H52"/>
    <mergeCell ref="A54:H54"/>
    <mergeCell ref="A57:H57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25"/>
  </cols>
  <sheetData>
    <row r="1" customFormat="false" ht="30" hidden="false" customHeight="true" outlineLevel="0" collapsed="false">
      <c r="A1" s="12" t="s">
        <v>199</v>
      </c>
      <c r="B1" s="12"/>
      <c r="C1" s="12"/>
      <c r="D1" s="12"/>
      <c r="E1" s="12"/>
      <c r="F1" s="12"/>
      <c r="G1" s="12"/>
    </row>
    <row r="2" customFormat="false" ht="15" hidden="false" customHeight="false" outlineLevel="0" collapsed="false">
      <c r="A2" s="13" t="s">
        <v>200</v>
      </c>
      <c r="B2" s="13"/>
      <c r="C2" s="13"/>
      <c r="D2" s="13"/>
      <c r="E2" s="13"/>
      <c r="F2" s="13"/>
      <c r="G2" s="13"/>
    </row>
    <row r="3" customFormat="false" ht="26.85" hidden="false" customHeight="false" outlineLevel="0" collapsed="false">
      <c r="A3" s="3" t="s">
        <v>201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  <c r="G3" s="3" t="s">
        <v>207</v>
      </c>
    </row>
    <row r="4" customFormat="false" ht="24" hidden="false" customHeight="true" outlineLevel="0" collapsed="false">
      <c r="A4" s="4" t="s">
        <v>208</v>
      </c>
      <c r="B4" s="4"/>
      <c r="C4" s="4"/>
      <c r="D4" s="4"/>
      <c r="E4" s="4"/>
      <c r="F4" s="4"/>
      <c r="G4" s="4"/>
    </row>
    <row r="5" customFormat="false" ht="21.75" hidden="false" customHeight="true" outlineLevel="0" collapsed="false">
      <c r="A5" s="7" t="s">
        <v>209</v>
      </c>
      <c r="B5" s="8" t="s">
        <v>210</v>
      </c>
      <c r="C5" s="8"/>
      <c r="D5" s="8" t="s">
        <v>211</v>
      </c>
      <c r="E5" s="14" t="s">
        <v>212</v>
      </c>
      <c r="F5" s="8" t="s">
        <v>213</v>
      </c>
      <c r="G5" s="8" t="s">
        <v>214</v>
      </c>
    </row>
    <row r="6" customFormat="false" ht="21.75" hidden="false" customHeight="true" outlineLevel="0" collapsed="false">
      <c r="A6" s="10" t="s">
        <v>215</v>
      </c>
      <c r="B6" s="11" t="s">
        <v>216</v>
      </c>
      <c r="C6" s="11"/>
      <c r="D6" s="11" t="s">
        <v>211</v>
      </c>
      <c r="E6" s="15" t="s">
        <v>212</v>
      </c>
      <c r="F6" s="11" t="s">
        <v>217</v>
      </c>
      <c r="G6" s="11" t="s">
        <v>218</v>
      </c>
    </row>
    <row r="7" customFormat="false" ht="24" hidden="false" customHeight="true" outlineLevel="0" collapsed="false">
      <c r="A7" s="4" t="s">
        <v>219</v>
      </c>
      <c r="B7" s="4"/>
      <c r="C7" s="4"/>
      <c r="D7" s="4"/>
      <c r="E7" s="4"/>
      <c r="F7" s="4"/>
      <c r="G7" s="4"/>
    </row>
    <row r="8" customFormat="false" ht="21.75" hidden="false" customHeight="true" outlineLevel="0" collapsed="false">
      <c r="A8" s="10" t="s">
        <v>41</v>
      </c>
      <c r="B8" s="11" t="s">
        <v>220</v>
      </c>
      <c r="C8" s="11" t="s">
        <v>217</v>
      </c>
      <c r="D8" s="11" t="s">
        <v>211</v>
      </c>
      <c r="E8" s="15" t="s">
        <v>212</v>
      </c>
      <c r="F8" s="11" t="s">
        <v>221</v>
      </c>
      <c r="G8" s="11" t="s">
        <v>222</v>
      </c>
    </row>
    <row r="9" customFormat="false" ht="21.75" hidden="false" customHeight="true" outlineLevel="0" collapsed="false">
      <c r="A9" s="7" t="s">
        <v>223</v>
      </c>
      <c r="B9" s="8" t="s">
        <v>224</v>
      </c>
      <c r="C9" s="8" t="s">
        <v>223</v>
      </c>
      <c r="D9" s="8" t="s">
        <v>211</v>
      </c>
      <c r="E9" s="14" t="s">
        <v>212</v>
      </c>
      <c r="F9" s="8"/>
      <c r="G9" s="8" t="s">
        <v>225</v>
      </c>
    </row>
    <row r="10" customFormat="false" ht="21.75" hidden="false" customHeight="true" outlineLevel="0" collapsed="false">
      <c r="A10" s="10" t="s">
        <v>226</v>
      </c>
      <c r="B10" s="11" t="s">
        <v>224</v>
      </c>
      <c r="C10" s="11" t="s">
        <v>226</v>
      </c>
      <c r="D10" s="11" t="s">
        <v>211</v>
      </c>
      <c r="E10" s="11" t="s">
        <v>227</v>
      </c>
      <c r="F10" s="11"/>
      <c r="G10" s="11" t="s">
        <v>228</v>
      </c>
    </row>
    <row r="11" customFormat="false" ht="21.75" hidden="false" customHeight="true" outlineLevel="0" collapsed="false">
      <c r="A11" s="7" t="s">
        <v>229</v>
      </c>
      <c r="B11" s="8" t="s">
        <v>224</v>
      </c>
      <c r="C11" s="8" t="s">
        <v>229</v>
      </c>
      <c r="D11" s="8" t="s">
        <v>211</v>
      </c>
      <c r="E11" s="8" t="s">
        <v>227</v>
      </c>
      <c r="F11" s="8"/>
      <c r="G11" s="8" t="s">
        <v>230</v>
      </c>
    </row>
    <row r="12" customFormat="false" ht="21.75" hidden="false" customHeight="true" outlineLevel="0" collapsed="false">
      <c r="A12" s="10" t="s">
        <v>231</v>
      </c>
      <c r="B12" s="11" t="s">
        <v>224</v>
      </c>
      <c r="C12" s="11" t="s">
        <v>231</v>
      </c>
      <c r="D12" s="11" t="s">
        <v>211</v>
      </c>
      <c r="E12" s="15" t="s">
        <v>212</v>
      </c>
      <c r="F12" s="11"/>
      <c r="G12" s="11" t="s">
        <v>232</v>
      </c>
    </row>
    <row r="13" customFormat="false" ht="24" hidden="false" customHeight="true" outlineLevel="0" collapsed="false">
      <c r="A13" s="4" t="s">
        <v>233</v>
      </c>
      <c r="B13" s="4"/>
      <c r="C13" s="4"/>
      <c r="D13" s="4"/>
      <c r="E13" s="4"/>
      <c r="F13" s="4"/>
      <c r="G13" s="4"/>
    </row>
    <row r="14" customFormat="false" ht="21.75" hidden="false" customHeight="true" outlineLevel="0" collapsed="false">
      <c r="A14" s="10" t="s">
        <v>234</v>
      </c>
      <c r="B14" s="11" t="s">
        <v>235</v>
      </c>
      <c r="C14" s="11" t="s">
        <v>236</v>
      </c>
      <c r="D14" s="11" t="s">
        <v>211</v>
      </c>
      <c r="E14" s="15" t="s">
        <v>212</v>
      </c>
      <c r="F14" s="11" t="s">
        <v>231</v>
      </c>
      <c r="G14" s="11" t="s">
        <v>237</v>
      </c>
    </row>
    <row r="15" customFormat="false" ht="21.75" hidden="false" customHeight="true" outlineLevel="0" collapsed="false">
      <c r="A15" s="7" t="s">
        <v>238</v>
      </c>
      <c r="B15" s="8" t="s">
        <v>239</v>
      </c>
      <c r="C15" s="8" t="s">
        <v>240</v>
      </c>
      <c r="D15" s="8" t="s">
        <v>241</v>
      </c>
      <c r="E15" s="14" t="s">
        <v>212</v>
      </c>
      <c r="F15" s="8"/>
      <c r="G15" s="8" t="s">
        <v>242</v>
      </c>
    </row>
    <row r="16" customFormat="false" ht="21.75" hidden="false" customHeight="true" outlineLevel="0" collapsed="false">
      <c r="A16" s="10" t="s">
        <v>243</v>
      </c>
      <c r="B16" s="11" t="s">
        <v>244</v>
      </c>
      <c r="C16" s="11" t="s">
        <v>231</v>
      </c>
      <c r="D16" s="11" t="s">
        <v>245</v>
      </c>
      <c r="E16" s="15" t="s">
        <v>212</v>
      </c>
      <c r="F16" s="11"/>
      <c r="G16" s="11" t="s">
        <v>246</v>
      </c>
    </row>
    <row r="17" customFormat="false" ht="21.75" hidden="false" customHeight="true" outlineLevel="0" collapsed="false">
      <c r="A17" s="7" t="s">
        <v>88</v>
      </c>
      <c r="B17" s="8" t="s">
        <v>247</v>
      </c>
      <c r="C17" s="8" t="s">
        <v>217</v>
      </c>
      <c r="D17" s="8" t="s">
        <v>211</v>
      </c>
      <c r="E17" s="8" t="s">
        <v>227</v>
      </c>
      <c r="F17" s="8"/>
      <c r="G17" s="8" t="s">
        <v>248</v>
      </c>
    </row>
    <row r="18" customFormat="false" ht="21.75" hidden="false" customHeight="true" outlineLevel="0" collapsed="false">
      <c r="A18" s="10" t="s">
        <v>101</v>
      </c>
      <c r="B18" s="11" t="s">
        <v>249</v>
      </c>
      <c r="C18" s="11" t="s">
        <v>231</v>
      </c>
      <c r="D18" s="11" t="s">
        <v>211</v>
      </c>
      <c r="E18" s="11" t="s">
        <v>227</v>
      </c>
      <c r="F18" s="11"/>
      <c r="G18" s="11" t="s">
        <v>250</v>
      </c>
    </row>
    <row r="19" customFormat="false" ht="21.75" hidden="false" customHeight="true" outlineLevel="0" collapsed="false">
      <c r="A19" s="7" t="s">
        <v>106</v>
      </c>
      <c r="B19" s="8" t="s">
        <v>251</v>
      </c>
      <c r="C19" s="8" t="s">
        <v>231</v>
      </c>
      <c r="D19" s="8" t="s">
        <v>211</v>
      </c>
      <c r="E19" s="8" t="s">
        <v>227</v>
      </c>
      <c r="F19" s="8"/>
      <c r="G19" s="8" t="s">
        <v>250</v>
      </c>
    </row>
    <row r="20" customFormat="false" ht="21.75" hidden="false" customHeight="true" outlineLevel="0" collapsed="false">
      <c r="A20" s="10" t="s">
        <v>252</v>
      </c>
      <c r="B20" s="11" t="s">
        <v>253</v>
      </c>
      <c r="C20" s="11" t="s">
        <v>231</v>
      </c>
      <c r="D20" s="11" t="s">
        <v>211</v>
      </c>
      <c r="E20" s="11" t="s">
        <v>227</v>
      </c>
      <c r="F20" s="11"/>
      <c r="G20" s="11" t="s">
        <v>254</v>
      </c>
    </row>
    <row r="21" customFormat="false" ht="24" hidden="false" customHeight="true" outlineLevel="0" collapsed="false">
      <c r="A21" s="4" t="s">
        <v>255</v>
      </c>
      <c r="B21" s="4"/>
      <c r="C21" s="4"/>
      <c r="D21" s="4"/>
      <c r="E21" s="4"/>
      <c r="F21" s="4"/>
      <c r="G21" s="4"/>
    </row>
    <row r="22" customFormat="false" ht="21.75" hidden="false" customHeight="true" outlineLevel="0" collapsed="false">
      <c r="A22" s="10" t="s">
        <v>256</v>
      </c>
      <c r="B22" s="11" t="s">
        <v>257</v>
      </c>
      <c r="C22" s="11" t="s">
        <v>217</v>
      </c>
      <c r="D22" s="11" t="s">
        <v>211</v>
      </c>
      <c r="E22" s="15" t="s">
        <v>212</v>
      </c>
      <c r="F22" s="11"/>
      <c r="G22" s="11" t="s">
        <v>258</v>
      </c>
    </row>
    <row r="23" customFormat="false" ht="21.75" hidden="false" customHeight="true" outlineLevel="0" collapsed="false">
      <c r="A23" s="7" t="s">
        <v>259</v>
      </c>
      <c r="B23" s="8" t="s">
        <v>260</v>
      </c>
      <c r="C23" s="8" t="s">
        <v>231</v>
      </c>
      <c r="D23" s="8" t="s">
        <v>245</v>
      </c>
      <c r="E23" s="14" t="s">
        <v>212</v>
      </c>
      <c r="F23" s="8"/>
      <c r="G23" s="8" t="s">
        <v>261</v>
      </c>
    </row>
    <row r="24" customFormat="false" ht="21.75" hidden="false" customHeight="true" outlineLevel="0" collapsed="false">
      <c r="A24" s="10" t="s">
        <v>262</v>
      </c>
      <c r="B24" s="11" t="s">
        <v>263</v>
      </c>
      <c r="C24" s="11" t="s">
        <v>231</v>
      </c>
      <c r="D24" s="11" t="s">
        <v>245</v>
      </c>
      <c r="E24" s="15" t="s">
        <v>212</v>
      </c>
      <c r="F24" s="11"/>
      <c r="G24" s="11" t="s">
        <v>264</v>
      </c>
    </row>
    <row r="25" customFormat="false" ht="21.75" hidden="false" customHeight="true" outlineLevel="0" collapsed="false">
      <c r="A25" s="7" t="s">
        <v>265</v>
      </c>
      <c r="B25" s="8" t="s">
        <v>266</v>
      </c>
      <c r="C25" s="8" t="s">
        <v>267</v>
      </c>
      <c r="D25" s="8" t="s">
        <v>241</v>
      </c>
      <c r="E25" s="14" t="s">
        <v>212</v>
      </c>
      <c r="F25" s="8"/>
      <c r="G25" s="8" t="s">
        <v>268</v>
      </c>
    </row>
    <row r="26" customFormat="false" ht="24" hidden="false" customHeight="true" outlineLevel="0" collapsed="false">
      <c r="A26" s="4" t="s">
        <v>93</v>
      </c>
      <c r="B26" s="4"/>
      <c r="C26" s="4"/>
      <c r="D26" s="4"/>
      <c r="E26" s="4"/>
      <c r="F26" s="4"/>
      <c r="G26" s="4"/>
    </row>
    <row r="27" customFormat="false" ht="21.75" hidden="false" customHeight="true" outlineLevel="0" collapsed="false">
      <c r="A27" s="7" t="s">
        <v>92</v>
      </c>
      <c r="B27" s="8" t="s">
        <v>269</v>
      </c>
      <c r="C27" s="8"/>
      <c r="D27" s="8" t="s">
        <v>211</v>
      </c>
      <c r="E27" s="14" t="s">
        <v>212</v>
      </c>
      <c r="F27" s="8"/>
      <c r="G27" s="8" t="s">
        <v>270</v>
      </c>
    </row>
    <row r="28" customFormat="false" ht="21.75" hidden="false" customHeight="true" outlineLevel="0" collapsed="false">
      <c r="A28" s="10" t="s">
        <v>271</v>
      </c>
      <c r="B28" s="11" t="s">
        <v>272</v>
      </c>
      <c r="C28" s="11"/>
      <c r="D28" s="11" t="s">
        <v>211</v>
      </c>
      <c r="E28" s="11" t="s">
        <v>227</v>
      </c>
      <c r="F28" s="11"/>
      <c r="G28" s="11" t="s">
        <v>273</v>
      </c>
    </row>
    <row r="29" customFormat="false" ht="21.75" hidden="false" customHeight="true" outlineLevel="0" collapsed="false">
      <c r="A29" s="7" t="s">
        <v>274</v>
      </c>
      <c r="B29" s="8" t="s">
        <v>275</v>
      </c>
      <c r="C29" s="8" t="s">
        <v>231</v>
      </c>
      <c r="D29" s="8" t="s">
        <v>211</v>
      </c>
      <c r="E29" s="8" t="s">
        <v>227</v>
      </c>
      <c r="F29" s="8"/>
      <c r="G29" s="8" t="s">
        <v>276</v>
      </c>
    </row>
    <row r="30" customFormat="false" ht="21.75" hidden="false" customHeight="true" outlineLevel="0" collapsed="false">
      <c r="A30" s="10" t="s">
        <v>177</v>
      </c>
      <c r="B30" s="11" t="s">
        <v>277</v>
      </c>
      <c r="C30" s="11" t="s">
        <v>217</v>
      </c>
      <c r="D30" s="11" t="s">
        <v>278</v>
      </c>
      <c r="E30" s="15" t="s">
        <v>212</v>
      </c>
      <c r="F30" s="11" t="s">
        <v>213</v>
      </c>
      <c r="G30" s="11" t="s">
        <v>279</v>
      </c>
    </row>
  </sheetData>
  <mergeCells count="7">
    <mergeCell ref="A1:G1"/>
    <mergeCell ref="A2:G2"/>
    <mergeCell ref="A4:G4"/>
    <mergeCell ref="A7:G7"/>
    <mergeCell ref="A13:G13"/>
    <mergeCell ref="A21:G21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D5B2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30" hidden="false" customHeight="true" outlineLevel="0" collapsed="false">
      <c r="A1" s="12" t="s">
        <v>280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3" t="s">
        <v>281</v>
      </c>
      <c r="B2" s="3" t="s">
        <v>282</v>
      </c>
      <c r="C2" s="3" t="s">
        <v>283</v>
      </c>
      <c r="D2" s="3" t="s">
        <v>284</v>
      </c>
      <c r="E2" s="3" t="s">
        <v>285</v>
      </c>
      <c r="F2" s="3" t="s">
        <v>286</v>
      </c>
    </row>
    <row r="3" customFormat="false" ht="24" hidden="false" customHeight="true" outlineLevel="0" collapsed="false">
      <c r="A3" s="4" t="s">
        <v>287</v>
      </c>
      <c r="B3" s="4"/>
      <c r="C3" s="4"/>
      <c r="D3" s="4"/>
      <c r="E3" s="4"/>
      <c r="F3" s="4"/>
    </row>
    <row r="4" customFormat="false" ht="27.75" hidden="false" customHeight="true" outlineLevel="0" collapsed="false">
      <c r="A4" s="16" t="s">
        <v>17</v>
      </c>
      <c r="B4" s="11" t="s">
        <v>288</v>
      </c>
      <c r="C4" s="11" t="s">
        <v>289</v>
      </c>
      <c r="D4" s="11" t="s">
        <v>290</v>
      </c>
      <c r="E4" s="9" t="s">
        <v>15</v>
      </c>
      <c r="F4" s="9"/>
    </row>
    <row r="5" customFormat="false" ht="27.75" hidden="false" customHeight="true" outlineLevel="0" collapsed="false">
      <c r="A5" s="17" t="s">
        <v>17</v>
      </c>
      <c r="B5" s="8" t="s">
        <v>291</v>
      </c>
      <c r="C5" s="8" t="s">
        <v>292</v>
      </c>
      <c r="D5" s="8" t="s">
        <v>293</v>
      </c>
      <c r="E5" s="6" t="s">
        <v>35</v>
      </c>
      <c r="F5" s="6"/>
    </row>
    <row r="6" customFormat="false" ht="27.75" hidden="false" customHeight="true" outlineLevel="0" collapsed="false">
      <c r="A6" s="16" t="s">
        <v>27</v>
      </c>
      <c r="B6" s="11" t="s">
        <v>219</v>
      </c>
      <c r="C6" s="11" t="s">
        <v>294</v>
      </c>
      <c r="D6" s="11" t="s">
        <v>295</v>
      </c>
      <c r="E6" s="9" t="s">
        <v>15</v>
      </c>
      <c r="F6" s="9"/>
    </row>
    <row r="7" customFormat="false" ht="27.75" hidden="false" customHeight="true" outlineLevel="0" collapsed="false">
      <c r="A7" s="17" t="s">
        <v>31</v>
      </c>
      <c r="B7" s="8" t="s">
        <v>219</v>
      </c>
      <c r="C7" s="8" t="s">
        <v>296</v>
      </c>
      <c r="D7" s="8" t="s">
        <v>297</v>
      </c>
      <c r="E7" s="6" t="s">
        <v>35</v>
      </c>
      <c r="F7" s="6"/>
    </row>
    <row r="8" customFormat="false" ht="27.75" hidden="false" customHeight="true" outlineLevel="0" collapsed="false">
      <c r="A8" s="16" t="s">
        <v>42</v>
      </c>
      <c r="B8" s="11" t="s">
        <v>288</v>
      </c>
      <c r="C8" s="11" t="s">
        <v>298</v>
      </c>
      <c r="D8" s="11" t="s">
        <v>299</v>
      </c>
      <c r="E8" s="9" t="s">
        <v>15</v>
      </c>
      <c r="F8" s="9"/>
    </row>
    <row r="9" customFormat="false" ht="27.75" hidden="false" customHeight="true" outlineLevel="0" collapsed="false">
      <c r="A9" s="17" t="s">
        <v>48</v>
      </c>
      <c r="B9" s="8" t="s">
        <v>300</v>
      </c>
      <c r="C9" s="8" t="s">
        <v>301</v>
      </c>
      <c r="D9" s="8" t="s">
        <v>302</v>
      </c>
      <c r="E9" s="6" t="s">
        <v>46</v>
      </c>
      <c r="F9" s="6"/>
    </row>
    <row r="10" customFormat="false" ht="27.75" hidden="false" customHeight="true" outlineLevel="0" collapsed="false">
      <c r="A10" s="16" t="s">
        <v>48</v>
      </c>
      <c r="B10" s="11" t="s">
        <v>300</v>
      </c>
      <c r="C10" s="11" t="s">
        <v>81</v>
      </c>
      <c r="D10" s="11" t="s">
        <v>303</v>
      </c>
      <c r="E10" s="9" t="s">
        <v>46</v>
      </c>
      <c r="F10" s="9"/>
    </row>
    <row r="11" customFormat="false" ht="27.75" hidden="false" customHeight="true" outlineLevel="0" collapsed="false">
      <c r="A11" s="17" t="s">
        <v>84</v>
      </c>
      <c r="B11" s="8" t="s">
        <v>93</v>
      </c>
      <c r="C11" s="8" t="s">
        <v>304</v>
      </c>
      <c r="D11" s="8" t="s">
        <v>305</v>
      </c>
      <c r="E11" s="6" t="s">
        <v>93</v>
      </c>
      <c r="F11" s="6"/>
    </row>
    <row r="12" customFormat="false" ht="27.75" hidden="false" customHeight="true" outlineLevel="0" collapsed="false">
      <c r="A12" s="16" t="s">
        <v>75</v>
      </c>
      <c r="B12" s="11" t="s">
        <v>300</v>
      </c>
      <c r="C12" s="11" t="s">
        <v>306</v>
      </c>
      <c r="D12" s="11" t="s">
        <v>307</v>
      </c>
      <c r="E12" s="9" t="s">
        <v>46</v>
      </c>
      <c r="F12" s="9"/>
    </row>
    <row r="13" customFormat="false" ht="27.75" hidden="false" customHeight="true" outlineLevel="0" collapsed="false">
      <c r="A13" s="17" t="s">
        <v>60</v>
      </c>
      <c r="B13" s="8" t="s">
        <v>308</v>
      </c>
      <c r="C13" s="8" t="s">
        <v>309</v>
      </c>
      <c r="D13" s="8" t="s">
        <v>310</v>
      </c>
      <c r="E13" s="6" t="s">
        <v>46</v>
      </c>
      <c r="F13" s="6"/>
    </row>
    <row r="14" customFormat="false" ht="27.75" hidden="false" customHeight="true" outlineLevel="0" collapsed="false">
      <c r="A14" s="16" t="s">
        <v>98</v>
      </c>
      <c r="B14" s="11" t="s">
        <v>300</v>
      </c>
      <c r="C14" s="11" t="s">
        <v>95</v>
      </c>
      <c r="D14" s="11" t="s">
        <v>311</v>
      </c>
      <c r="E14" s="9" t="s">
        <v>46</v>
      </c>
      <c r="F14" s="9"/>
    </row>
    <row r="15" customFormat="false" ht="24" hidden="false" customHeight="true" outlineLevel="0" collapsed="false">
      <c r="A15" s="4" t="s">
        <v>312</v>
      </c>
      <c r="B15" s="4"/>
      <c r="C15" s="4"/>
      <c r="D15" s="4"/>
      <c r="E15" s="4"/>
      <c r="F15" s="4"/>
    </row>
    <row r="16" customFormat="false" ht="27.75" hidden="false" customHeight="true" outlineLevel="0" collapsed="false">
      <c r="A16" s="16" t="s">
        <v>117</v>
      </c>
      <c r="B16" s="11" t="s">
        <v>313</v>
      </c>
      <c r="C16" s="11" t="s">
        <v>314</v>
      </c>
      <c r="D16" s="11" t="s">
        <v>315</v>
      </c>
      <c r="E16" s="9" t="s">
        <v>35</v>
      </c>
      <c r="F16" s="9"/>
    </row>
    <row r="17" customFormat="false" ht="27.75" hidden="false" customHeight="true" outlineLevel="0" collapsed="false">
      <c r="A17" s="17" t="s">
        <v>316</v>
      </c>
      <c r="B17" s="8" t="s">
        <v>313</v>
      </c>
      <c r="C17" s="8" t="s">
        <v>317</v>
      </c>
      <c r="D17" s="8" t="s">
        <v>318</v>
      </c>
      <c r="E17" s="6" t="s">
        <v>35</v>
      </c>
      <c r="F17" s="6"/>
    </row>
    <row r="18" customFormat="false" ht="27.75" hidden="false" customHeight="true" outlineLevel="0" collapsed="false">
      <c r="A18" s="16" t="s">
        <v>189</v>
      </c>
      <c r="B18" s="11" t="s">
        <v>308</v>
      </c>
      <c r="C18" s="11" t="s">
        <v>185</v>
      </c>
      <c r="D18" s="11" t="s">
        <v>319</v>
      </c>
      <c r="E18" s="9" t="s">
        <v>320</v>
      </c>
      <c r="F18" s="9"/>
    </row>
    <row r="19" customFormat="false" ht="27.75" hidden="false" customHeight="true" outlineLevel="0" collapsed="false">
      <c r="A19" s="17" t="s">
        <v>321</v>
      </c>
      <c r="B19" s="8" t="s">
        <v>313</v>
      </c>
      <c r="C19" s="8" t="s">
        <v>322</v>
      </c>
      <c r="D19" s="8" t="s">
        <v>323</v>
      </c>
      <c r="E19" s="6" t="s">
        <v>324</v>
      </c>
      <c r="F19" s="6"/>
    </row>
    <row r="20" customFormat="false" ht="27.75" hidden="false" customHeight="true" outlineLevel="0" collapsed="false">
      <c r="A20" s="16" t="s">
        <v>133</v>
      </c>
      <c r="B20" s="11" t="s">
        <v>313</v>
      </c>
      <c r="C20" s="11" t="s">
        <v>325</v>
      </c>
      <c r="D20" s="11" t="s">
        <v>326</v>
      </c>
      <c r="E20" s="9" t="s">
        <v>46</v>
      </c>
      <c r="F20" s="9"/>
    </row>
    <row r="21" customFormat="false" ht="27.75" hidden="false" customHeight="true" outlineLevel="0" collapsed="false">
      <c r="A21" s="17" t="s">
        <v>137</v>
      </c>
      <c r="B21" s="8" t="s">
        <v>313</v>
      </c>
      <c r="C21" s="8" t="s">
        <v>134</v>
      </c>
      <c r="D21" s="8" t="s">
        <v>327</v>
      </c>
      <c r="E21" s="6" t="s">
        <v>35</v>
      </c>
      <c r="F21" s="6"/>
    </row>
    <row r="22" customFormat="false" ht="24" hidden="false" customHeight="true" outlineLevel="0" collapsed="false">
      <c r="A22" s="4" t="s">
        <v>328</v>
      </c>
      <c r="B22" s="4"/>
      <c r="C22" s="4"/>
      <c r="D22" s="4"/>
      <c r="E22" s="4"/>
      <c r="F22" s="4"/>
    </row>
    <row r="23" customFormat="false" ht="27.75" hidden="false" customHeight="true" outlineLevel="0" collapsed="false">
      <c r="A23" s="17" t="s">
        <v>142</v>
      </c>
      <c r="B23" s="8" t="s">
        <v>313</v>
      </c>
      <c r="C23" s="8" t="s">
        <v>329</v>
      </c>
      <c r="D23" s="8" t="s">
        <v>330</v>
      </c>
      <c r="E23" s="6" t="s">
        <v>35</v>
      </c>
      <c r="F23" s="6"/>
    </row>
    <row r="24" customFormat="false" ht="27.75" hidden="false" customHeight="true" outlineLevel="0" collapsed="false">
      <c r="A24" s="16" t="s">
        <v>142</v>
      </c>
      <c r="B24" s="11" t="s">
        <v>313</v>
      </c>
      <c r="C24" s="11" t="s">
        <v>331</v>
      </c>
      <c r="D24" s="11" t="s">
        <v>332</v>
      </c>
      <c r="E24" s="9" t="s">
        <v>35</v>
      </c>
      <c r="F24" s="9"/>
    </row>
    <row r="25" customFormat="false" ht="27.75" hidden="false" customHeight="true" outlineLevel="0" collapsed="false">
      <c r="A25" s="17" t="s">
        <v>150</v>
      </c>
      <c r="B25" s="8" t="s">
        <v>313</v>
      </c>
      <c r="C25" s="8" t="s">
        <v>333</v>
      </c>
      <c r="D25" s="8" t="s">
        <v>334</v>
      </c>
      <c r="E25" s="6" t="s">
        <v>35</v>
      </c>
      <c r="F25" s="6"/>
    </row>
    <row r="26" customFormat="false" ht="27.75" hidden="false" customHeight="true" outlineLevel="0" collapsed="false">
      <c r="A26" s="16" t="s">
        <v>153</v>
      </c>
      <c r="B26" s="11" t="s">
        <v>313</v>
      </c>
      <c r="C26" s="11" t="s">
        <v>335</v>
      </c>
      <c r="D26" s="11" t="s">
        <v>336</v>
      </c>
      <c r="E26" s="9" t="s">
        <v>35</v>
      </c>
      <c r="F26" s="9"/>
    </row>
    <row r="27" customFormat="false" ht="27.75" hidden="false" customHeight="true" outlineLevel="0" collapsed="false">
      <c r="A27" s="17" t="s">
        <v>66</v>
      </c>
      <c r="B27" s="8" t="s">
        <v>313</v>
      </c>
      <c r="C27" s="8" t="s">
        <v>337</v>
      </c>
      <c r="D27" s="8" t="s">
        <v>338</v>
      </c>
      <c r="E27" s="6" t="s">
        <v>35</v>
      </c>
      <c r="F27" s="6"/>
    </row>
    <row r="28" customFormat="false" ht="27.75" hidden="false" customHeight="true" outlineLevel="0" collapsed="false">
      <c r="A28" s="16" t="s">
        <v>66</v>
      </c>
      <c r="B28" s="11" t="s">
        <v>300</v>
      </c>
      <c r="C28" s="11" t="s">
        <v>339</v>
      </c>
      <c r="D28" s="11" t="s">
        <v>340</v>
      </c>
      <c r="E28" s="9" t="s">
        <v>46</v>
      </c>
      <c r="F28" s="9"/>
    </row>
    <row r="29" customFormat="false" ht="27.75" hidden="false" customHeight="true" outlineLevel="0" collapsed="false">
      <c r="A29" s="17" t="s">
        <v>66</v>
      </c>
      <c r="B29" s="8" t="s">
        <v>300</v>
      </c>
      <c r="C29" s="8" t="s">
        <v>341</v>
      </c>
      <c r="D29" s="8" t="s">
        <v>342</v>
      </c>
      <c r="E29" s="6" t="s">
        <v>46</v>
      </c>
      <c r="F29" s="6"/>
    </row>
    <row r="30" customFormat="false" ht="24" hidden="false" customHeight="true" outlineLevel="0" collapsed="false">
      <c r="A30" s="4" t="s">
        <v>343</v>
      </c>
      <c r="B30" s="4"/>
      <c r="C30" s="4"/>
      <c r="D30" s="4"/>
      <c r="E30" s="4"/>
      <c r="F30" s="4"/>
    </row>
    <row r="31" customFormat="false" ht="27.75" hidden="false" customHeight="true" outlineLevel="0" collapsed="false">
      <c r="A31" s="17" t="s">
        <v>344</v>
      </c>
      <c r="B31" s="8" t="s">
        <v>308</v>
      </c>
      <c r="C31" s="8" t="s">
        <v>195</v>
      </c>
      <c r="D31" s="8" t="s">
        <v>345</v>
      </c>
      <c r="E31" s="6" t="s">
        <v>346</v>
      </c>
      <c r="F31" s="6"/>
    </row>
    <row r="32" customFormat="false" ht="27.75" hidden="false" customHeight="true" outlineLevel="0" collapsed="false">
      <c r="A32" s="16" t="s">
        <v>70</v>
      </c>
      <c r="B32" s="11" t="s">
        <v>308</v>
      </c>
      <c r="C32" s="11" t="s">
        <v>347</v>
      </c>
      <c r="D32" s="11" t="s">
        <v>348</v>
      </c>
      <c r="E32" s="9" t="s">
        <v>46</v>
      </c>
      <c r="F32" s="9"/>
    </row>
    <row r="33" customFormat="false" ht="27.75" hidden="false" customHeight="true" outlineLevel="0" collapsed="false">
      <c r="A33" s="17" t="s">
        <v>349</v>
      </c>
      <c r="B33" s="8" t="s">
        <v>308</v>
      </c>
      <c r="C33" s="8" t="s">
        <v>350</v>
      </c>
      <c r="D33" s="8" t="s">
        <v>351</v>
      </c>
      <c r="E33" s="6" t="s">
        <v>46</v>
      </c>
      <c r="F33" s="6"/>
    </row>
    <row r="34" customFormat="false" ht="27.75" hidden="false" customHeight="true" outlineLevel="0" collapsed="false">
      <c r="A34" s="16" t="s">
        <v>349</v>
      </c>
      <c r="B34" s="11" t="s">
        <v>352</v>
      </c>
      <c r="C34" s="11" t="s">
        <v>353</v>
      </c>
      <c r="D34" s="11" t="s">
        <v>354</v>
      </c>
      <c r="E34" s="9" t="s">
        <v>15</v>
      </c>
      <c r="F34" s="9"/>
    </row>
    <row r="35" customFormat="false" ht="27.75" hidden="false" customHeight="true" outlineLevel="0" collapsed="false">
      <c r="A35" s="17" t="s">
        <v>349</v>
      </c>
      <c r="B35" s="8" t="s">
        <v>355</v>
      </c>
      <c r="C35" s="8" t="s">
        <v>356</v>
      </c>
      <c r="D35" s="8" t="s">
        <v>357</v>
      </c>
      <c r="E35" s="6" t="s">
        <v>93</v>
      </c>
      <c r="F35" s="6"/>
    </row>
  </sheetData>
  <mergeCells count="5">
    <mergeCell ref="A1:F1"/>
    <mergeCell ref="A3:F3"/>
    <mergeCell ref="A15:F15"/>
    <mergeCell ref="A22:F22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F3DC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2" t="s">
        <v>358</v>
      </c>
      <c r="B1" s="12"/>
      <c r="C1" s="12"/>
      <c r="D1" s="12"/>
      <c r="E1" s="12"/>
    </row>
    <row r="2" customFormat="false" ht="26.85" hidden="false" customHeight="false" outlineLevel="0" collapsed="false">
      <c r="A2" s="3" t="s">
        <v>359</v>
      </c>
      <c r="B2" s="3" t="s">
        <v>360</v>
      </c>
      <c r="C2" s="3" t="s">
        <v>361</v>
      </c>
      <c r="D2" s="3" t="s">
        <v>362</v>
      </c>
      <c r="E2" s="3" t="s">
        <v>207</v>
      </c>
    </row>
    <row r="3" customFormat="false" ht="24" hidden="false" customHeight="true" outlineLevel="0" collapsed="false">
      <c r="A3" s="4" t="s">
        <v>363</v>
      </c>
      <c r="B3" s="4"/>
      <c r="C3" s="4"/>
      <c r="D3" s="4"/>
      <c r="E3" s="4"/>
    </row>
    <row r="4" customFormat="false" ht="21.75" hidden="false" customHeight="true" outlineLevel="0" collapsed="false">
      <c r="A4" s="10" t="s">
        <v>364</v>
      </c>
      <c r="B4" s="18"/>
      <c r="C4" s="18" t="n">
        <v>1200</v>
      </c>
      <c r="D4" s="18"/>
      <c r="E4" s="11" t="s">
        <v>365</v>
      </c>
    </row>
    <row r="5" customFormat="false" ht="21.75" hidden="false" customHeight="true" outlineLevel="0" collapsed="false">
      <c r="A5" s="7" t="s">
        <v>366</v>
      </c>
      <c r="B5" s="19" t="n">
        <v>0</v>
      </c>
      <c r="C5" s="19" t="n">
        <v>0</v>
      </c>
      <c r="D5" s="19"/>
      <c r="E5" s="8" t="s">
        <v>367</v>
      </c>
    </row>
    <row r="6" customFormat="false" ht="21.75" hidden="false" customHeight="true" outlineLevel="0" collapsed="false">
      <c r="A6" s="10" t="s">
        <v>368</v>
      </c>
      <c r="B6" s="18" t="n">
        <v>136</v>
      </c>
      <c r="C6" s="18" t="n">
        <v>1632</v>
      </c>
      <c r="D6" s="18"/>
      <c r="E6" s="11" t="s">
        <v>369</v>
      </c>
    </row>
    <row r="7" customFormat="false" ht="21.75" hidden="false" customHeight="true" outlineLevel="0" collapsed="false">
      <c r="A7" s="7" t="s">
        <v>370</v>
      </c>
      <c r="B7" s="19" t="n">
        <v>2000</v>
      </c>
      <c r="C7" s="19" t="n">
        <v>24000</v>
      </c>
      <c r="D7" s="19"/>
      <c r="E7" s="8" t="s">
        <v>371</v>
      </c>
    </row>
    <row r="8" customFormat="false" ht="21.75" hidden="false" customHeight="true" outlineLevel="0" collapsed="false">
      <c r="A8" s="10" t="s">
        <v>372</v>
      </c>
      <c r="B8" s="18" t="n">
        <v>999</v>
      </c>
      <c r="C8" s="18" t="n">
        <v>11988</v>
      </c>
      <c r="D8" s="18"/>
      <c r="E8" s="11" t="s">
        <v>373</v>
      </c>
    </row>
    <row r="9" customFormat="false" ht="21.75" hidden="false" customHeight="true" outlineLevel="0" collapsed="false">
      <c r="A9" s="7" t="s">
        <v>374</v>
      </c>
      <c r="B9" s="19"/>
      <c r="C9" s="19"/>
      <c r="D9" s="19" t="n">
        <v>10000</v>
      </c>
      <c r="E9" s="8" t="s">
        <v>375</v>
      </c>
    </row>
    <row r="10" customFormat="false" ht="24" hidden="false" customHeight="true" outlineLevel="0" collapsed="false">
      <c r="A10" s="4" t="s">
        <v>376</v>
      </c>
      <c r="B10" s="4"/>
      <c r="C10" s="4"/>
      <c r="D10" s="4"/>
      <c r="E10" s="4"/>
    </row>
    <row r="11" customFormat="false" ht="21.75" hidden="false" customHeight="true" outlineLevel="0" collapsed="false">
      <c r="A11" s="7" t="s">
        <v>377</v>
      </c>
      <c r="B11" s="19" t="n">
        <v>291</v>
      </c>
      <c r="C11" s="19" t="n">
        <v>3500</v>
      </c>
      <c r="D11" s="19"/>
      <c r="E11" s="8" t="s">
        <v>378</v>
      </c>
    </row>
    <row r="12" customFormat="false" ht="21.75" hidden="false" customHeight="true" outlineLevel="0" collapsed="false">
      <c r="A12" s="10" t="s">
        <v>379</v>
      </c>
      <c r="B12" s="18" t="n">
        <v>0</v>
      </c>
      <c r="C12" s="18" t="n">
        <v>0</v>
      </c>
      <c r="D12" s="18"/>
      <c r="E12" s="11" t="s">
        <v>380</v>
      </c>
    </row>
    <row r="13" customFormat="false" ht="21.75" hidden="false" customHeight="true" outlineLevel="0" collapsed="false">
      <c r="A13" s="7" t="s">
        <v>381</v>
      </c>
      <c r="B13" s="19" t="n">
        <v>0</v>
      </c>
      <c r="C13" s="19" t="n">
        <v>0</v>
      </c>
      <c r="D13" s="19"/>
      <c r="E13" s="8" t="s">
        <v>382</v>
      </c>
    </row>
    <row r="14" customFormat="false" ht="21.75" hidden="false" customHeight="true" outlineLevel="0" collapsed="false">
      <c r="A14" s="10" t="s">
        <v>383</v>
      </c>
      <c r="B14" s="18" t="n">
        <v>500</v>
      </c>
      <c r="C14" s="18" t="n">
        <v>6000</v>
      </c>
      <c r="D14" s="18"/>
      <c r="E14" s="11" t="s">
        <v>384</v>
      </c>
    </row>
    <row r="15" customFormat="false" ht="21.75" hidden="false" customHeight="true" outlineLevel="0" collapsed="false">
      <c r="A15" s="7" t="s">
        <v>385</v>
      </c>
      <c r="B15" s="19"/>
      <c r="C15" s="19"/>
      <c r="D15" s="19" t="n">
        <v>3000</v>
      </c>
      <c r="E15" s="8" t="s">
        <v>386</v>
      </c>
    </row>
    <row r="16" customFormat="false" ht="24" hidden="false" customHeight="true" outlineLevel="0" collapsed="false">
      <c r="A16" s="4" t="s">
        <v>387</v>
      </c>
      <c r="B16" s="4"/>
      <c r="C16" s="4"/>
      <c r="D16" s="4"/>
      <c r="E16" s="4"/>
    </row>
    <row r="17" customFormat="false" ht="21.75" hidden="false" customHeight="true" outlineLevel="0" collapsed="false">
      <c r="A17" s="7" t="s">
        <v>388</v>
      </c>
      <c r="B17" s="19" t="n">
        <v>5000</v>
      </c>
      <c r="C17" s="19" t="n">
        <v>60000</v>
      </c>
      <c r="D17" s="19"/>
      <c r="E17" s="8" t="s">
        <v>389</v>
      </c>
    </row>
    <row r="18" customFormat="false" ht="21.75" hidden="false" customHeight="true" outlineLevel="0" collapsed="false">
      <c r="A18" s="10" t="s">
        <v>390</v>
      </c>
      <c r="B18" s="18" t="n">
        <v>5000</v>
      </c>
      <c r="C18" s="18" t="n">
        <v>60000</v>
      </c>
      <c r="D18" s="18"/>
      <c r="E18" s="11" t="s">
        <v>391</v>
      </c>
    </row>
    <row r="19" customFormat="false" ht="21.75" hidden="false" customHeight="true" outlineLevel="0" collapsed="false">
      <c r="A19" s="7" t="s">
        <v>392</v>
      </c>
      <c r="B19" s="19" t="n">
        <v>5000</v>
      </c>
      <c r="C19" s="19" t="n">
        <v>60000</v>
      </c>
      <c r="D19" s="19"/>
      <c r="E19" s="8" t="s">
        <v>393</v>
      </c>
    </row>
    <row r="20" customFormat="false" ht="21.75" hidden="false" customHeight="true" outlineLevel="0" collapsed="false">
      <c r="A20" s="10" t="s">
        <v>394</v>
      </c>
      <c r="B20" s="18"/>
      <c r="C20" s="18"/>
      <c r="D20" s="18" t="n">
        <v>500000</v>
      </c>
      <c r="E20" s="11" t="s">
        <v>395</v>
      </c>
    </row>
    <row r="22" customFormat="false" ht="15" hidden="false" customHeight="false" outlineLevel="0" collapsed="false">
      <c r="A22" s="4" t="s">
        <v>396</v>
      </c>
      <c r="B22" s="4"/>
      <c r="C22" s="4"/>
      <c r="D22" s="4"/>
      <c r="E22" s="4"/>
    </row>
    <row r="23" customFormat="false" ht="15" hidden="false" customHeight="false" outlineLevel="0" collapsed="false">
      <c r="A23" s="20" t="s">
        <v>397</v>
      </c>
      <c r="B23" s="21" t="n">
        <f aca="false">136+2000+999+500</f>
        <v>3635</v>
      </c>
      <c r="C23" s="20"/>
      <c r="D23" s="20"/>
      <c r="E23" s="20" t="s">
        <v>398</v>
      </c>
    </row>
    <row r="24" customFormat="false" ht="15" hidden="false" customHeight="false" outlineLevel="0" collapsed="false">
      <c r="A24" s="20" t="s">
        <v>399</v>
      </c>
      <c r="B24" s="20"/>
      <c r="C24" s="20"/>
      <c r="D24" s="21" t="n">
        <f aca="false">10000+3000</f>
        <v>13000</v>
      </c>
      <c r="E24" s="20" t="s">
        <v>400</v>
      </c>
    </row>
    <row r="25" customFormat="false" ht="23.85" hidden="false" customHeight="false" outlineLevel="0" collapsed="false">
      <c r="A25" s="22" t="s">
        <v>401</v>
      </c>
      <c r="B25" s="22"/>
      <c r="C25" s="23" t="n">
        <f aca="false">1200+1632+24000+11988+3500+6000+10000+3000</f>
        <v>61320</v>
      </c>
      <c r="D25" s="22"/>
      <c r="E25" s="22" t="s">
        <v>402</v>
      </c>
    </row>
  </sheetData>
  <mergeCells count="5">
    <mergeCell ref="A1:E1"/>
    <mergeCell ref="A3:E3"/>
    <mergeCell ref="A10:E10"/>
    <mergeCell ref="A16:E16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2026-04-13T12:14:45Z</dcterms:created>
  <dc:creator>openpyxl</dc:creator>
  <dc:description/>
  <dc:language>en-US</dc:language>
  <cp:lastModifiedBy/>
  <dcterms:modified xsi:type="dcterms:W3CDTF">2026-04-13T12:14:45Z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